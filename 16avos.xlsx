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710\Documents\Proyectos\Tabla-mundial-main\Tabla-mundial-4°1°\"/>
    </mc:Choice>
  </mc:AlternateContent>
  <xr:revisionPtr revIDLastSave="0" documentId="13_ncr:1_{0B137131-20EF-4943-A41C-D3D767D57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2" i="1"/>
  <c r="AE18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D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<sst xmlns="http://schemas.openxmlformats.org/spreadsheetml/2006/main" count="625" uniqueCount="110">
  <si>
    <t>Usuario</t>
  </si>
  <si>
    <t>Pol Alvarez</t>
  </si>
  <si>
    <t>Manuel Proserpio</t>
  </si>
  <si>
    <t>Thiago Puga</t>
  </si>
  <si>
    <t>Federico Fischer</t>
  </si>
  <si>
    <t>Agustin Dulcet</t>
  </si>
  <si>
    <t>Benjamín Arregui</t>
  </si>
  <si>
    <t>Lucas Marin</t>
  </si>
  <si>
    <t>Yago Sayas</t>
  </si>
  <si>
    <t>Ignacio Saavedra</t>
  </si>
  <si>
    <t>Facundo Gasparini</t>
  </si>
  <si>
    <t>Mateo Mora</t>
  </si>
  <si>
    <t>Danilo Giacobini</t>
  </si>
  <si>
    <t>Thiago Campobello</t>
  </si>
  <si>
    <t>Valentino Russo</t>
  </si>
  <si>
    <t>Luciano Grela</t>
  </si>
  <si>
    <t>Ciro Lopez</t>
  </si>
  <si>
    <t>Pia Machado</t>
  </si>
  <si>
    <t>Sudáfrica - Canadá (Resultado)</t>
  </si>
  <si>
    <t>Sudáfrica - Canadá</t>
  </si>
  <si>
    <t>0-2</t>
  </si>
  <si>
    <t>1-2</t>
  </si>
  <si>
    <t xml:space="preserve">0-2 </t>
  </si>
  <si>
    <t>2-1</t>
  </si>
  <si>
    <t>0-1</t>
  </si>
  <si>
    <t>Canadá</t>
  </si>
  <si>
    <t>Sudáfrica</t>
  </si>
  <si>
    <t>1-3</t>
  </si>
  <si>
    <t>Brasil - Japón (Resultado)</t>
  </si>
  <si>
    <t>Brasil - Japón (Brasil)</t>
  </si>
  <si>
    <t xml:space="preserve">2-1 </t>
  </si>
  <si>
    <t>1-0</t>
  </si>
  <si>
    <t>2-3</t>
  </si>
  <si>
    <t>2-0</t>
  </si>
  <si>
    <t>2-2</t>
  </si>
  <si>
    <t>Brasil</t>
  </si>
  <si>
    <t>Japón</t>
  </si>
  <si>
    <t xml:space="preserve"> -</t>
  </si>
  <si>
    <t>-</t>
  </si>
  <si>
    <t>Resultado</t>
  </si>
  <si>
    <t>1-1</t>
  </si>
  <si>
    <t>3-0</t>
  </si>
  <si>
    <t>4-1</t>
  </si>
  <si>
    <t>3-1</t>
  </si>
  <si>
    <t>Alemania - Paraguay (Resultado)</t>
  </si>
  <si>
    <t>Alemania</t>
  </si>
  <si>
    <t>Alemania - Paraguay (Ganador)</t>
  </si>
  <si>
    <t>Paraguay</t>
  </si>
  <si>
    <t>3-2</t>
  </si>
  <si>
    <t xml:space="preserve">0-1 </t>
  </si>
  <si>
    <t>0-3</t>
  </si>
  <si>
    <t xml:space="preserve">0-3 </t>
  </si>
  <si>
    <t>4-2</t>
  </si>
  <si>
    <t>4-0</t>
  </si>
  <si>
    <t xml:space="preserve">4-0 </t>
  </si>
  <si>
    <t>5-1</t>
  </si>
  <si>
    <t xml:space="preserve">2-0 </t>
  </si>
  <si>
    <t>4-3</t>
  </si>
  <si>
    <t>5-0</t>
  </si>
  <si>
    <t>Países Bajos - Marruecos (Resultados)</t>
  </si>
  <si>
    <t>Países Bajos - Marruecos (Ganador)</t>
  </si>
  <si>
    <t>Países Bajos</t>
  </si>
  <si>
    <t>Marruecos</t>
  </si>
  <si>
    <t>Costa de Marfil - Noruega (Resultados)</t>
  </si>
  <si>
    <t>Costa de Marfil - Noruega (Ganador)</t>
  </si>
  <si>
    <t>Noruega</t>
  </si>
  <si>
    <t>Costa de Marfil</t>
  </si>
  <si>
    <t>Francia - Suecia (Resultados)</t>
  </si>
  <si>
    <t>Francia - Suecia (Ganador)</t>
  </si>
  <si>
    <t>Francia</t>
  </si>
  <si>
    <t>México - Ecuador (Ganador)</t>
  </si>
  <si>
    <t>México</t>
  </si>
  <si>
    <t>Ecuador</t>
  </si>
  <si>
    <t>Inglaterra  - RD Congo (Resultados)</t>
  </si>
  <si>
    <t>Inglaterra  - RD Congo (Ganador)</t>
  </si>
  <si>
    <t>Inglaterra</t>
  </si>
  <si>
    <t>Bélgica - Senegal (Resultados)</t>
  </si>
  <si>
    <t>Bélgica - Senegal (Ganador)</t>
  </si>
  <si>
    <t>Bélgica</t>
  </si>
  <si>
    <t>Senegal</t>
  </si>
  <si>
    <t>0-0</t>
  </si>
  <si>
    <t>Estados Unidos - Bosnia y Herzegovina (Resultados)</t>
  </si>
  <si>
    <t>Estados Unidos - Bosnia y Herzegovina (Ganador)</t>
  </si>
  <si>
    <t>Estados Unidos</t>
  </si>
  <si>
    <t>España</t>
  </si>
  <si>
    <t>Portugal - Croacia (Resultados)</t>
  </si>
  <si>
    <t>Portugal - Croacia (Ganador)</t>
  </si>
  <si>
    <t>España - Austria (Ganador)</t>
  </si>
  <si>
    <t>España - Austria (Resultados)</t>
  </si>
  <si>
    <t>México - Ecuador (Resultados)</t>
  </si>
  <si>
    <t>Portugal</t>
  </si>
  <si>
    <t>Croacia</t>
  </si>
  <si>
    <t>Suiza - Argelia (Resultados)</t>
  </si>
  <si>
    <t>Suiza - Argelia (Ganador)</t>
  </si>
  <si>
    <t>Suiza</t>
  </si>
  <si>
    <t>Argelia</t>
  </si>
  <si>
    <t>Australia - Egipto (Resultados)</t>
  </si>
  <si>
    <t>Australia - Egipto (Ganador)</t>
  </si>
  <si>
    <t>Egipto</t>
  </si>
  <si>
    <t>Australia</t>
  </si>
  <si>
    <t>Argentina - Cabo Verde (Respuestas)</t>
  </si>
  <si>
    <t>Argentina - Cabo Verde (Ganador)</t>
  </si>
  <si>
    <t>Argentina</t>
  </si>
  <si>
    <t>Colombia - Ghana (Resultados)</t>
  </si>
  <si>
    <t>Colombia</t>
  </si>
  <si>
    <t>Ghana</t>
  </si>
  <si>
    <t>Puntos</t>
  </si>
  <si>
    <t>Puntos de Fase de grupos</t>
  </si>
  <si>
    <t>Puntos totales</t>
  </si>
  <si>
    <t>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</si>
</sst>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indexed="64"/>
      </right>
      <top style="thin">
        <color rgb="FF5B3F86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B3F8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vertical="center"/>
    </xf>
    <xf numFmtId="164" fontId="1" fillId="4" borderId="2" xfId="0" applyNumberFormat="1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quotePrefix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quotePrefix="1" applyFont="1" applyFill="1" applyAlignment="1">
      <alignment horizontal="center" vertical="center"/>
    </xf>
    <xf numFmtId="16" fontId="1" fillId="4" borderId="0" xfId="0" quotePrefix="1" applyNumberFormat="1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3" borderId="8" xfId="0" quotePrefix="1" applyFont="1" applyFill="1" applyBorder="1" applyAlignment="1">
      <alignment horizontal="center" vertical="center"/>
    </xf>
    <xf numFmtId="0" fontId="1" fillId="4" borderId="8" xfId="0" quotePrefix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1" fillId="3" borderId="5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0" xfId="0" applyFill="1" applyAlignment="1">
      <alignment horizontal="center"/>
    </xf>
    <xf numFmtId="164" fontId="0" fillId="0" borderId="11" xfId="0" applyNumberFormat="1" applyBorder="1"/>
    <xf numFmtId="0" fontId="0" fillId="5" borderId="12" xfId="0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"/>
  <sheetViews>
    <sheetView tabSelected="1" zoomScale="160" zoomScaleNormal="160" workbookViewId="0">
      <selection activeCell="AY21" sqref="AY21"/>
    </sheetView>
  </sheetViews>
  <sheetFormatPr baseColWidth="10" defaultColWidth="9.140625" defaultRowHeight="15" x14ac:dyDescent="0.25"/>
  <cols>
    <col min="1" max="1" width="18.140625" bestFit="1" customWidth="1"/>
    <col min="2" max="2" width="25.7109375" bestFit="1" customWidth="1"/>
    <col min="3" max="3" width="16.140625" customWidth="1"/>
    <col min="4" max="5" width="21.42578125" bestFit="1" customWidth="1"/>
    <col min="6" max="7" width="27.140625" bestFit="1" customWidth="1"/>
    <col min="8" max="8" width="31.7109375" bestFit="1" customWidth="1"/>
    <col min="9" max="9" width="29.7109375" bestFit="1" customWidth="1"/>
    <col min="10" max="10" width="32" bestFit="1" customWidth="1"/>
    <col min="11" max="11" width="30" bestFit="1" customWidth="1"/>
    <col min="12" max="12" width="29.7109375" bestFit="1" customWidth="1"/>
    <col min="13" max="13" width="24.140625" bestFit="1" customWidth="1"/>
    <col min="14" max="14" width="32" bestFit="1" customWidth="1"/>
    <col min="15" max="15" width="30" bestFit="1" customWidth="1"/>
    <col min="16" max="17" width="28.85546875" bestFit="1" customWidth="1"/>
    <col min="18" max="19" width="24.7109375" bestFit="1" customWidth="1"/>
    <col min="20" max="21" width="42.42578125" bestFit="1" customWidth="1"/>
    <col min="22" max="22" width="24.5703125" bestFit="1" customWidth="1"/>
    <col min="23" max="23" width="28.85546875" bestFit="1" customWidth="1"/>
    <col min="24" max="25" width="25.85546875" bestFit="1" customWidth="1"/>
    <col min="26" max="26" width="24.7109375" bestFit="1" customWidth="1"/>
    <col min="27" max="27" width="22.7109375" bestFit="1" customWidth="1"/>
    <col min="28" max="28" width="25.140625" bestFit="1" customWidth="1"/>
    <col min="29" max="29" width="42.42578125" bestFit="1" customWidth="1"/>
    <col min="30" max="30" width="40.42578125" bestFit="1" customWidth="1"/>
    <col min="31" max="31" width="29.7109375" bestFit="1" customWidth="1"/>
    <col min="32" max="43" width="25.7109375" bestFit="1" customWidth="1"/>
    <col min="44" max="44" width="29.7109375" bestFit="1" customWidth="1"/>
    <col min="45" max="45" width="27.7109375" bestFit="1" customWidth="1"/>
    <col min="46" max="48" width="25.7109375" bestFit="1" customWidth="1"/>
    <col min="49" max="49" width="15.7109375" customWidth="1"/>
    <col min="50" max="50" width="21" bestFit="1" customWidth="1"/>
    <col min="51" max="51" width="12.28515625" bestFit="1" customWidth="1"/>
    <col min="52" max="52" width="18.140625" bestFit="1" customWidth="1"/>
  </cols>
  <sheetData>
    <row r="1" spans="1:52" x14ac:dyDescent="0.25">
      <c r="A1" s="1" t="s">
        <v>0</v>
      </c>
      <c r="B1" s="5" t="s">
        <v>18</v>
      </c>
      <c r="C1" s="5" t="s">
        <v>19</v>
      </c>
      <c r="D1" s="25" t="s">
        <v>106</v>
      </c>
      <c r="E1" s="5" t="s">
        <v>28</v>
      </c>
      <c r="F1" s="5" t="s">
        <v>29</v>
      </c>
      <c r="G1" s="25" t="s">
        <v>106</v>
      </c>
      <c r="H1" s="5" t="s">
        <v>44</v>
      </c>
      <c r="I1" s="5" t="s">
        <v>46</v>
      </c>
      <c r="J1" s="25" t="s">
        <v>106</v>
      </c>
      <c r="K1" s="5" t="s">
        <v>59</v>
      </c>
      <c r="L1" s="5" t="s">
        <v>60</v>
      </c>
      <c r="M1" s="25" t="s">
        <v>106</v>
      </c>
      <c r="N1" s="5" t="s">
        <v>63</v>
      </c>
      <c r="O1" s="5" t="s">
        <v>64</v>
      </c>
      <c r="P1" s="25" t="s">
        <v>106</v>
      </c>
      <c r="Q1" s="5" t="s">
        <v>67</v>
      </c>
      <c r="R1" s="5" t="s">
        <v>68</v>
      </c>
      <c r="S1" s="25" t="s">
        <v>106</v>
      </c>
      <c r="T1" s="5" t="s">
        <v>89</v>
      </c>
      <c r="U1" s="5" t="s">
        <v>70</v>
      </c>
      <c r="V1" s="25" t="s">
        <v>106</v>
      </c>
      <c r="W1" s="5" t="s">
        <v>73</v>
      </c>
      <c r="X1" s="5" t="s">
        <v>74</v>
      </c>
      <c r="Y1" s="25" t="s">
        <v>106</v>
      </c>
      <c r="Z1" s="5" t="s">
        <v>76</v>
      </c>
      <c r="AA1" s="5" t="s">
        <v>77</v>
      </c>
      <c r="AB1" s="25" t="s">
        <v>106</v>
      </c>
      <c r="AC1" s="5" t="s">
        <v>81</v>
      </c>
      <c r="AD1" s="5" t="s">
        <v>82</v>
      </c>
      <c r="AE1" s="25" t="s">
        <v>106</v>
      </c>
      <c r="AF1" s="5" t="s">
        <v>88</v>
      </c>
      <c r="AG1" s="5" t="s">
        <v>87</v>
      </c>
      <c r="AH1" s="25" t="s">
        <v>106</v>
      </c>
      <c r="AI1" s="5" t="s">
        <v>85</v>
      </c>
      <c r="AJ1" s="5" t="s">
        <v>86</v>
      </c>
      <c r="AK1" s="25" t="s">
        <v>106</v>
      </c>
      <c r="AL1" s="5" t="s">
        <v>92</v>
      </c>
      <c r="AM1" s="5" t="s">
        <v>93</v>
      </c>
      <c r="AN1" s="25" t="s">
        <v>106</v>
      </c>
      <c r="AO1" s="5" t="s">
        <v>96</v>
      </c>
      <c r="AP1" s="5" t="s">
        <v>97</v>
      </c>
      <c r="AQ1" s="25" t="s">
        <v>106</v>
      </c>
      <c r="AR1" s="5" t="s">
        <v>100</v>
      </c>
      <c r="AS1" s="5" t="s">
        <v>101</v>
      </c>
      <c r="AT1" s="25" t="s">
        <v>106</v>
      </c>
      <c r="AU1" s="14" t="s">
        <v>103</v>
      </c>
      <c r="AV1" s="15" t="s">
        <v>103</v>
      </c>
      <c r="AW1" s="25" t="s">
        <v>106</v>
      </c>
      <c r="AX1" s="24" t="s">
        <v>107</v>
      </c>
      <c r="AY1" s="24" t="s">
        <v>108</v>
      </c>
      <c r="AZ1" s="24" t="s">
        <v>109</v>
      </c>
    </row>
    <row r="2" spans="1:52" x14ac:dyDescent="0.25">
      <c r="A2" s="2" t="s">
        <v>1</v>
      </c>
      <c r="B2" s="8" t="s">
        <v>20</v>
      </c>
      <c r="C2" s="8" t="s">
        <v>25</v>
      </c>
      <c r="D2" s="26">
        <f>IF(AND(B2=$B$20,C2=$C$20),3,IF(OR(B2=$B$20,C2=$C$20),1,0))</f>
        <v>1</v>
      </c>
      <c r="E2" s="9" t="s">
        <v>21</v>
      </c>
      <c r="F2" s="8" t="s">
        <v>36</v>
      </c>
      <c r="G2" s="26">
        <f>IF(AND(E2=$E$20,F2=$F$20),3,IF(OR(E2=$E$20,F2=$F$20),1,0))</f>
        <v>0</v>
      </c>
      <c r="H2" s="8" t="s">
        <v>41</v>
      </c>
      <c r="I2" s="8" t="s">
        <v>45</v>
      </c>
      <c r="J2" s="26">
        <f>IF(AND(H2=$H$20,I2=$I$20),3,IF(OR(H2=$H$20,I2=$I$20),1,0))</f>
        <v>0</v>
      </c>
      <c r="K2" s="9" t="s">
        <v>40</v>
      </c>
      <c r="L2" s="8" t="s">
        <v>61</v>
      </c>
      <c r="M2" s="26">
        <f>IF(AND(K2=$K$20,L2=$L$20),3,IF(OR(K2=$K$20,L2=$L$20),1,0))</f>
        <v>1</v>
      </c>
      <c r="N2" s="9" t="s">
        <v>32</v>
      </c>
      <c r="O2" s="8" t="s">
        <v>65</v>
      </c>
      <c r="P2" s="26">
        <f>IF(AND(N2=$N$20,O2=$O$20),3,IF(OR(N2=$N$20,O2=$O$20),1,0))</f>
        <v>1</v>
      </c>
      <c r="Q2" s="9" t="s">
        <v>42</v>
      </c>
      <c r="R2" s="8" t="s">
        <v>69</v>
      </c>
      <c r="S2" s="26">
        <f>IF(AND(Q2=$Q$20,R2=$R$20),3,IF(OR(Q2=$Q$20,R2=$R$20),1,0))</f>
        <v>1</v>
      </c>
      <c r="T2" s="9" t="s">
        <v>23</v>
      </c>
      <c r="U2" s="8" t="s">
        <v>71</v>
      </c>
      <c r="V2" s="26">
        <f>IF(AND(T2=$T$20,U2=$U$20),3,IF(OR(T2=$T$20,U2=$U$20),1,0))</f>
        <v>1</v>
      </c>
      <c r="W2" s="8" t="s">
        <v>41</v>
      </c>
      <c r="X2" s="8" t="s">
        <v>75</v>
      </c>
      <c r="Y2" s="26">
        <f>IF(AND(W2=$W$20,X2=$X$20),3,IF(OR(W2=$W$20,X2=$X$20),1,0))</f>
        <v>0</v>
      </c>
      <c r="Z2" s="8" t="s">
        <v>33</v>
      </c>
      <c r="AA2" s="8" t="s">
        <v>78</v>
      </c>
      <c r="AB2" s="26">
        <f>IF(AND(Z2=$Z$20,AA2=$AA$20),3,IF(OR(Z2=$Z$20,AA2=$AA$20),1,0))</f>
        <v>0</v>
      </c>
      <c r="AC2" s="9" t="s">
        <v>43</v>
      </c>
      <c r="AD2" s="8" t="s">
        <v>83</v>
      </c>
      <c r="AE2" s="26">
        <f>IF(AND(AC2=$AC$20,AD2=$AD$20),3,IF(OR(AC2=$AC$20,AD2=$AD$20),1,0))</f>
        <v>0</v>
      </c>
      <c r="AF2" s="8" t="s">
        <v>53</v>
      </c>
      <c r="AG2" s="8" t="s">
        <v>84</v>
      </c>
      <c r="AH2" s="26">
        <f>IF(AND(AF2=$AF$20,AG2=$AG$20),3,IF(OR(AF2=$AF$20,AG2=$AG$20),1,0))</f>
        <v>0</v>
      </c>
      <c r="AI2" s="9" t="s">
        <v>23</v>
      </c>
      <c r="AJ2" s="8" t="s">
        <v>90</v>
      </c>
      <c r="AK2" s="26">
        <f>IF(AND(AI2=$AI$20,AJ2=$AJ$20),3,IF(OR(AI2=$AI$20,AJ2=$AJ$20),1,0))</f>
        <v>0</v>
      </c>
      <c r="AL2" s="8" t="s">
        <v>31</v>
      </c>
      <c r="AM2" s="8" t="s">
        <v>94</v>
      </c>
      <c r="AN2" s="26">
        <f>IF(AND(AL2=$AL$20,AM2=$AM$20),3,IF(OR(AL2=$AL$20,AM2=$AM$20),1,0))</f>
        <v>0</v>
      </c>
      <c r="AO2" s="9" t="s">
        <v>40</v>
      </c>
      <c r="AP2" s="8" t="s">
        <v>98</v>
      </c>
      <c r="AQ2" s="26">
        <f>IF(AND(AO2=$AO$20,AP2=$AP$20),3,IF(OR(AO2=$AO$20,AP2=$AP$20),1,0))</f>
        <v>0</v>
      </c>
      <c r="AR2" s="8" t="s">
        <v>33</v>
      </c>
      <c r="AS2" s="8" t="s">
        <v>102</v>
      </c>
      <c r="AT2" s="26">
        <f>IF(AND(AR2=$AR$20,AS2=$AS$20),3,IF(OR(AR2=$AR$20,AS2=$AS$20),1,0))</f>
        <v>0</v>
      </c>
      <c r="AU2" s="8" t="s">
        <v>31</v>
      </c>
      <c r="AV2" s="16" t="s">
        <v>104</v>
      </c>
      <c r="AW2" s="26">
        <f>IF(AND(AU2=$AU$20,AV2=$AV$20),3,IF(OR(AU2=$AU$20,AV2=$AV$20),1,0))</f>
        <v>0</v>
      </c>
      <c r="AX2" s="28">
        <v>41</v>
      </c>
      <c r="AY2" s="28">
        <f>D2+G2+J2+M2+P2+S2+V2+Y2+AB2+AE2+AH2+AK2+AN2+AQ2+AT2+AX2</f>
        <v>46</v>
      </c>
      <c r="AZ2" s="29" t="str">
        <f>A2</f>
        <v>Pol Alvarez</v>
      </c>
    </row>
    <row r="3" spans="1:52" x14ac:dyDescent="0.25">
      <c r="A3" s="3" t="s">
        <v>2</v>
      </c>
      <c r="B3" s="10" t="s">
        <v>20</v>
      </c>
      <c r="C3" s="10" t="s">
        <v>25</v>
      </c>
      <c r="D3" s="26">
        <f t="shared" ref="D3:D18" si="0">IF(AND(B3=$B$20,C3=$C$20),3,IF(OR(B3=$B$20,C3=$C$20),1,0))</f>
        <v>1</v>
      </c>
      <c r="E3" s="11" t="s">
        <v>23</v>
      </c>
      <c r="F3" s="10" t="s">
        <v>35</v>
      </c>
      <c r="G3" s="26">
        <f t="shared" ref="G3:G18" si="1">IF(AND(E3=$E$20,F3=$F$20),3,IF(OR(E3=$E$20,F3=$F$20),1,0))</f>
        <v>3</v>
      </c>
      <c r="H3" s="11" t="s">
        <v>42</v>
      </c>
      <c r="I3" s="10" t="s">
        <v>45</v>
      </c>
      <c r="J3" s="26">
        <f t="shared" ref="J3:J18" si="2">IF(AND(H3=$H$20,I3=$I$20),3,IF(OR(H3=$H$20,I3=$I$20),1,0))</f>
        <v>0</v>
      </c>
      <c r="K3" s="11" t="s">
        <v>48</v>
      </c>
      <c r="L3" s="10" t="s">
        <v>61</v>
      </c>
      <c r="M3" s="26">
        <f t="shared" ref="M3:M18" si="3">IF(AND(K3=$K$20,L3=$L$20),3,IF(OR(K3=$K$20,L3=$L$20),1,0))</f>
        <v>0</v>
      </c>
      <c r="N3" s="10" t="s">
        <v>20</v>
      </c>
      <c r="O3" s="10" t="s">
        <v>65</v>
      </c>
      <c r="P3" s="26">
        <f t="shared" ref="P3:P18" si="4">IF(AND(N3=$N$20,O3=$O$20),3,IF(OR(N3=$N$20,O3=$O$20),1,0))</f>
        <v>1</v>
      </c>
      <c r="Q3" s="11" t="s">
        <v>43</v>
      </c>
      <c r="R3" s="10" t="s">
        <v>69</v>
      </c>
      <c r="S3" s="26">
        <f t="shared" ref="S3:S18" si="5">IF(AND(Q3=$Q$20,R3=$R$20),3,IF(OR(Q3=$Q$20,R3=$R$20),1,0))</f>
        <v>1</v>
      </c>
      <c r="T3" s="10" t="s">
        <v>31</v>
      </c>
      <c r="U3" s="10" t="s">
        <v>71</v>
      </c>
      <c r="V3" s="26">
        <f t="shared" ref="V3:V18" si="6">IF(AND(T3=$T$20,U3=$U$20),3,IF(OR(T3=$T$20,U3=$U$20),1,0))</f>
        <v>1</v>
      </c>
      <c r="W3" s="11" t="s">
        <v>23</v>
      </c>
      <c r="X3" s="10" t="s">
        <v>75</v>
      </c>
      <c r="Y3" s="26">
        <f t="shared" ref="Y3:Y18" si="7">IF(AND(W3=$W$20,X3=$X$20),3,IF(OR(W3=$W$20,X3=$X$20),1,0))</f>
        <v>0</v>
      </c>
      <c r="Z3" s="10" t="s">
        <v>31</v>
      </c>
      <c r="AA3" s="10" t="s">
        <v>78</v>
      </c>
      <c r="AB3" s="26">
        <f t="shared" ref="AB3:AB18" si="8">IF(AND(Z3=$Z$20,AA3=$AA$20),3,IF(OR(Z3=$Z$20,AA3=$AA$20),1,0))</f>
        <v>0</v>
      </c>
      <c r="AC3" s="11" t="s">
        <v>40</v>
      </c>
      <c r="AD3" s="10" t="s">
        <v>83</v>
      </c>
      <c r="AE3" s="26">
        <f t="shared" ref="AE3:AE17" si="9">IF(AND(AC3=$AC$20,AD3=$AD$20),3,IF(OR(AC3=$AC$20,AD3=$AD$20),1,0))</f>
        <v>0</v>
      </c>
      <c r="AF3" s="11" t="s">
        <v>43</v>
      </c>
      <c r="AG3" s="10" t="s">
        <v>84</v>
      </c>
      <c r="AH3" s="26">
        <f t="shared" ref="AH3:AH18" si="10">IF(AND(AF3=$AF$20,AG3=$AG$20),3,IF(OR(AF3=$AF$20,AG3=$AG$20),1,0))</f>
        <v>0</v>
      </c>
      <c r="AI3" s="11" t="s">
        <v>34</v>
      </c>
      <c r="AJ3" s="10" t="s">
        <v>90</v>
      </c>
      <c r="AK3" s="26">
        <f t="shared" ref="AK3:AK18" si="11">IF(AND(AI3=$AI$20,AJ3=$AJ$20),3,IF(OR(AI3=$AI$20,AJ3=$AJ$20),1,0))</f>
        <v>0</v>
      </c>
      <c r="AL3" s="11" t="s">
        <v>40</v>
      </c>
      <c r="AM3" s="10" t="s">
        <v>94</v>
      </c>
      <c r="AN3" s="26">
        <f t="shared" ref="AN3:AN18" si="12">IF(AND(AL3=$AL$20,AM3=$AM$20),3,IF(OR(AL3=$AL$20,AM3=$AM$20),1,0))</f>
        <v>0</v>
      </c>
      <c r="AO3" s="11" t="s">
        <v>27</v>
      </c>
      <c r="AP3" s="10" t="s">
        <v>98</v>
      </c>
      <c r="AQ3" s="26">
        <f t="shared" ref="AQ3:AQ18" si="13">IF(AND(AO3=$AO$20,AP3=$AP$20),3,IF(OR(AO3=$AO$20,AP3=$AP$20),1,0))</f>
        <v>0</v>
      </c>
      <c r="AR3" s="11" t="s">
        <v>43</v>
      </c>
      <c r="AS3" s="10" t="s">
        <v>102</v>
      </c>
      <c r="AT3" s="26">
        <f t="shared" ref="AT3:AT18" si="14">IF(AND(AR3=$AR$20,AS3=$AS$20),3,IF(OR(AR3=$AR$20,AS3=$AS$20),1,0))</f>
        <v>0</v>
      </c>
      <c r="AU3" s="11" t="s">
        <v>33</v>
      </c>
      <c r="AV3" s="17" t="s">
        <v>104</v>
      </c>
      <c r="AW3" s="26">
        <f t="shared" ref="AW3:AW18" si="15">IF(AND(AU3=$AU$20,AV3=$AV$20),3,IF(OR(AU3=$AU$20,AV3=$AV$20),1,0))</f>
        <v>0</v>
      </c>
      <c r="AX3" s="28">
        <v>42</v>
      </c>
      <c r="AY3" s="28">
        <f t="shared" ref="AY3:AY18" si="16">D3+G3+J3+M3+P3+S3+V3+Y3+AB3+AE3+AH3+AK3+AN3+AQ3+AT3+AX3</f>
        <v>49</v>
      </c>
      <c r="AZ3" s="29" t="str">
        <f t="shared" ref="AZ3:AZ18" si="17">A3</f>
        <v>Manuel Proserpio</v>
      </c>
    </row>
    <row r="4" spans="1:52" x14ac:dyDescent="0.25">
      <c r="A4" s="2" t="s">
        <v>3</v>
      </c>
      <c r="B4" s="9" t="s">
        <v>21</v>
      </c>
      <c r="C4" s="9" t="s">
        <v>25</v>
      </c>
      <c r="D4" s="26">
        <f t="shared" si="0"/>
        <v>1</v>
      </c>
      <c r="E4" s="9" t="s">
        <v>34</v>
      </c>
      <c r="F4" s="9" t="s">
        <v>35</v>
      </c>
      <c r="G4" s="26">
        <f t="shared" si="1"/>
        <v>1</v>
      </c>
      <c r="H4" s="8" t="s">
        <v>33</v>
      </c>
      <c r="I4" s="9" t="s">
        <v>45</v>
      </c>
      <c r="J4" s="26">
        <f t="shared" si="2"/>
        <v>0</v>
      </c>
      <c r="K4" s="9" t="s">
        <v>32</v>
      </c>
      <c r="L4" s="9" t="s">
        <v>62</v>
      </c>
      <c r="M4" s="26">
        <f t="shared" si="3"/>
        <v>1</v>
      </c>
      <c r="N4" s="8" t="s">
        <v>50</v>
      </c>
      <c r="O4" s="9" t="s">
        <v>65</v>
      </c>
      <c r="P4" s="26">
        <f t="shared" si="4"/>
        <v>1</v>
      </c>
      <c r="Q4" s="8" t="s">
        <v>33</v>
      </c>
      <c r="R4" s="9" t="s">
        <v>69</v>
      </c>
      <c r="S4" s="26">
        <f t="shared" si="5"/>
        <v>1</v>
      </c>
      <c r="T4" s="9" t="s">
        <v>23</v>
      </c>
      <c r="U4" s="9" t="s">
        <v>71</v>
      </c>
      <c r="V4" s="26">
        <f t="shared" si="6"/>
        <v>1</v>
      </c>
      <c r="W4" s="8" t="s">
        <v>41</v>
      </c>
      <c r="X4" s="9" t="s">
        <v>75</v>
      </c>
      <c r="Y4" s="26">
        <f t="shared" si="7"/>
        <v>0</v>
      </c>
      <c r="Z4" s="9" t="s">
        <v>23</v>
      </c>
      <c r="AA4" s="9" t="s">
        <v>78</v>
      </c>
      <c r="AB4" s="26">
        <f t="shared" si="8"/>
        <v>0</v>
      </c>
      <c r="AC4" s="9" t="s">
        <v>23</v>
      </c>
      <c r="AD4" s="9" t="s">
        <v>83</v>
      </c>
      <c r="AE4" s="26">
        <f t="shared" si="9"/>
        <v>0</v>
      </c>
      <c r="AF4" s="9" t="s">
        <v>43</v>
      </c>
      <c r="AG4" s="9" t="s">
        <v>84</v>
      </c>
      <c r="AH4" s="26">
        <f t="shared" si="10"/>
        <v>0</v>
      </c>
      <c r="AI4" s="9" t="s">
        <v>48</v>
      </c>
      <c r="AJ4" s="9" t="s">
        <v>90</v>
      </c>
      <c r="AK4" s="26">
        <f t="shared" si="11"/>
        <v>0</v>
      </c>
      <c r="AL4" s="9" t="s">
        <v>23</v>
      </c>
      <c r="AM4" s="9" t="s">
        <v>94</v>
      </c>
      <c r="AN4" s="26">
        <f t="shared" si="12"/>
        <v>0</v>
      </c>
      <c r="AO4" s="8" t="s">
        <v>20</v>
      </c>
      <c r="AP4" s="9" t="s">
        <v>98</v>
      </c>
      <c r="AQ4" s="26">
        <f t="shared" si="13"/>
        <v>0</v>
      </c>
      <c r="AR4" s="8" t="s">
        <v>41</v>
      </c>
      <c r="AS4" s="9" t="s">
        <v>102</v>
      </c>
      <c r="AT4" s="26">
        <f t="shared" si="14"/>
        <v>0</v>
      </c>
      <c r="AU4" s="8" t="s">
        <v>33</v>
      </c>
      <c r="AV4" s="18" t="s">
        <v>104</v>
      </c>
      <c r="AW4" s="26">
        <f t="shared" si="15"/>
        <v>0</v>
      </c>
      <c r="AX4" s="28">
        <v>47</v>
      </c>
      <c r="AY4" s="28">
        <f t="shared" si="16"/>
        <v>53</v>
      </c>
      <c r="AZ4" s="29" t="str">
        <f t="shared" si="17"/>
        <v>Thiago Puga</v>
      </c>
    </row>
    <row r="5" spans="1:52" x14ac:dyDescent="0.25">
      <c r="A5" s="3" t="s">
        <v>4</v>
      </c>
      <c r="B5" s="10" t="s">
        <v>22</v>
      </c>
      <c r="C5" s="10" t="s">
        <v>25</v>
      </c>
      <c r="D5" s="26">
        <f t="shared" si="0"/>
        <v>1</v>
      </c>
      <c r="E5" s="11" t="s">
        <v>23</v>
      </c>
      <c r="F5" s="10" t="s">
        <v>35</v>
      </c>
      <c r="G5" s="26">
        <f t="shared" si="1"/>
        <v>3</v>
      </c>
      <c r="H5" s="10" t="s">
        <v>41</v>
      </c>
      <c r="I5" s="10" t="s">
        <v>45</v>
      </c>
      <c r="J5" s="26">
        <f t="shared" si="2"/>
        <v>0</v>
      </c>
      <c r="K5" s="10" t="s">
        <v>49</v>
      </c>
      <c r="L5" s="10" t="s">
        <v>62</v>
      </c>
      <c r="M5" s="26">
        <f t="shared" si="3"/>
        <v>1</v>
      </c>
      <c r="N5" s="10" t="s">
        <v>51</v>
      </c>
      <c r="O5" s="10" t="s">
        <v>65</v>
      </c>
      <c r="P5" s="26">
        <f t="shared" si="4"/>
        <v>1</v>
      </c>
      <c r="Q5" s="11" t="s">
        <v>23</v>
      </c>
      <c r="R5" s="10" t="s">
        <v>69</v>
      </c>
      <c r="S5" s="26">
        <f t="shared" si="5"/>
        <v>1</v>
      </c>
      <c r="T5" s="10" t="s">
        <v>24</v>
      </c>
      <c r="U5" s="10" t="s">
        <v>72</v>
      </c>
      <c r="V5" s="26">
        <f t="shared" si="6"/>
        <v>0</v>
      </c>
      <c r="W5" s="10" t="s">
        <v>54</v>
      </c>
      <c r="X5" s="10" t="s">
        <v>75</v>
      </c>
      <c r="Y5" s="26">
        <f t="shared" si="7"/>
        <v>0</v>
      </c>
      <c r="Z5" s="11" t="s">
        <v>30</v>
      </c>
      <c r="AA5" s="10" t="s">
        <v>78</v>
      </c>
      <c r="AB5" s="26">
        <f t="shared" si="8"/>
        <v>0</v>
      </c>
      <c r="AC5" s="10" t="s">
        <v>56</v>
      </c>
      <c r="AD5" s="10" t="s">
        <v>83</v>
      </c>
      <c r="AE5" s="26">
        <f t="shared" si="9"/>
        <v>0</v>
      </c>
      <c r="AF5" s="10" t="s">
        <v>56</v>
      </c>
      <c r="AG5" s="10" t="s">
        <v>84</v>
      </c>
      <c r="AH5" s="26">
        <f t="shared" si="10"/>
        <v>0</v>
      </c>
      <c r="AI5" s="11" t="s">
        <v>40</v>
      </c>
      <c r="AJ5" s="10" t="s">
        <v>91</v>
      </c>
      <c r="AK5" s="26">
        <f t="shared" si="11"/>
        <v>0</v>
      </c>
      <c r="AL5" s="10" t="s">
        <v>31</v>
      </c>
      <c r="AM5" s="10" t="s">
        <v>94</v>
      </c>
      <c r="AN5" s="26">
        <f t="shared" si="12"/>
        <v>0</v>
      </c>
      <c r="AO5" s="11" t="s">
        <v>21</v>
      </c>
      <c r="AP5" s="10" t="s">
        <v>98</v>
      </c>
      <c r="AQ5" s="26">
        <f t="shared" si="13"/>
        <v>0</v>
      </c>
      <c r="AR5" s="10" t="s">
        <v>41</v>
      </c>
      <c r="AS5" s="10" t="s">
        <v>102</v>
      </c>
      <c r="AT5" s="26">
        <f t="shared" si="14"/>
        <v>0</v>
      </c>
      <c r="AU5" s="10" t="s">
        <v>31</v>
      </c>
      <c r="AV5" s="17" t="s">
        <v>104</v>
      </c>
      <c r="AW5" s="26">
        <f t="shared" si="15"/>
        <v>0</v>
      </c>
      <c r="AX5" s="28">
        <v>31</v>
      </c>
      <c r="AY5" s="28">
        <f t="shared" si="16"/>
        <v>38</v>
      </c>
      <c r="AZ5" s="29" t="str">
        <f t="shared" si="17"/>
        <v>Federico Fischer</v>
      </c>
    </row>
    <row r="6" spans="1:52" x14ac:dyDescent="0.25">
      <c r="A6" s="2" t="s">
        <v>5</v>
      </c>
      <c r="B6" s="8" t="s">
        <v>20</v>
      </c>
      <c r="C6" s="8" t="s">
        <v>25</v>
      </c>
      <c r="D6" s="26">
        <f t="shared" si="0"/>
        <v>1</v>
      </c>
      <c r="E6" s="9" t="s">
        <v>23</v>
      </c>
      <c r="F6" s="8" t="s">
        <v>35</v>
      </c>
      <c r="G6" s="26">
        <f t="shared" si="1"/>
        <v>3</v>
      </c>
      <c r="H6" s="9" t="s">
        <v>43</v>
      </c>
      <c r="I6" s="8" t="s">
        <v>45</v>
      </c>
      <c r="J6" s="26">
        <f t="shared" si="2"/>
        <v>0</v>
      </c>
      <c r="K6" s="9" t="s">
        <v>40</v>
      </c>
      <c r="L6" s="8" t="s">
        <v>61</v>
      </c>
      <c r="M6" s="26">
        <f t="shared" si="3"/>
        <v>1</v>
      </c>
      <c r="N6" s="9" t="s">
        <v>23</v>
      </c>
      <c r="O6" s="8" t="s">
        <v>66</v>
      </c>
      <c r="P6" s="26">
        <f t="shared" si="4"/>
        <v>0</v>
      </c>
      <c r="Q6" s="9" t="s">
        <v>52</v>
      </c>
      <c r="R6" s="8" t="s">
        <v>69</v>
      </c>
      <c r="S6" s="26">
        <f t="shared" si="5"/>
        <v>1</v>
      </c>
      <c r="T6" s="8" t="s">
        <v>31</v>
      </c>
      <c r="U6" s="8" t="s">
        <v>71</v>
      </c>
      <c r="V6" s="26">
        <f t="shared" si="6"/>
        <v>1</v>
      </c>
      <c r="W6" s="8" t="s">
        <v>53</v>
      </c>
      <c r="X6" s="8" t="s">
        <v>75</v>
      </c>
      <c r="Y6" s="26">
        <f t="shared" si="7"/>
        <v>0</v>
      </c>
      <c r="Z6" s="9" t="s">
        <v>80</v>
      </c>
      <c r="AA6" s="8" t="s">
        <v>79</v>
      </c>
      <c r="AB6" s="26">
        <f t="shared" si="8"/>
        <v>0</v>
      </c>
      <c r="AC6" s="9" t="s">
        <v>55</v>
      </c>
      <c r="AD6" s="8" t="s">
        <v>83</v>
      </c>
      <c r="AE6" s="26">
        <f t="shared" si="9"/>
        <v>0</v>
      </c>
      <c r="AF6" s="8" t="s">
        <v>31</v>
      </c>
      <c r="AG6" s="8" t="s">
        <v>84</v>
      </c>
      <c r="AH6" s="26">
        <f t="shared" si="10"/>
        <v>0</v>
      </c>
      <c r="AI6" s="9" t="s">
        <v>23</v>
      </c>
      <c r="AJ6" s="8" t="s">
        <v>90</v>
      </c>
      <c r="AK6" s="26">
        <f t="shared" si="11"/>
        <v>0</v>
      </c>
      <c r="AL6" s="8" t="s">
        <v>33</v>
      </c>
      <c r="AM6" s="8" t="s">
        <v>94</v>
      </c>
      <c r="AN6" s="26">
        <f t="shared" si="12"/>
        <v>0</v>
      </c>
      <c r="AO6" s="9" t="s">
        <v>23</v>
      </c>
      <c r="AP6" s="8" t="s">
        <v>99</v>
      </c>
      <c r="AQ6" s="26">
        <f t="shared" si="13"/>
        <v>0</v>
      </c>
      <c r="AR6" s="8" t="s">
        <v>31</v>
      </c>
      <c r="AS6" s="8" t="s">
        <v>102</v>
      </c>
      <c r="AT6" s="26">
        <f t="shared" si="14"/>
        <v>0</v>
      </c>
      <c r="AU6" s="8" t="s">
        <v>34</v>
      </c>
      <c r="AV6" s="16" t="s">
        <v>104</v>
      </c>
      <c r="AW6" s="26">
        <f t="shared" si="15"/>
        <v>0</v>
      </c>
      <c r="AX6" s="28">
        <v>41</v>
      </c>
      <c r="AY6" s="28">
        <f t="shared" si="16"/>
        <v>48</v>
      </c>
      <c r="AZ6" s="29" t="str">
        <f t="shared" si="17"/>
        <v>Agustin Dulcet</v>
      </c>
    </row>
    <row r="7" spans="1:52" x14ac:dyDescent="0.25">
      <c r="A7" s="3" t="s">
        <v>6</v>
      </c>
      <c r="B7" s="11" t="s">
        <v>27</v>
      </c>
      <c r="C7" s="10" t="s">
        <v>25</v>
      </c>
      <c r="D7" s="26">
        <f t="shared" si="0"/>
        <v>1</v>
      </c>
      <c r="E7" s="11" t="s">
        <v>23</v>
      </c>
      <c r="F7" s="10" t="s">
        <v>35</v>
      </c>
      <c r="G7" s="26">
        <f t="shared" si="1"/>
        <v>3</v>
      </c>
      <c r="H7" s="11" t="s">
        <v>41</v>
      </c>
      <c r="I7" s="10" t="s">
        <v>45</v>
      </c>
      <c r="J7" s="26">
        <f t="shared" si="2"/>
        <v>0</v>
      </c>
      <c r="K7" s="11" t="s">
        <v>48</v>
      </c>
      <c r="L7" s="10" t="s">
        <v>61</v>
      </c>
      <c r="M7" s="26">
        <f t="shared" si="3"/>
        <v>0</v>
      </c>
      <c r="N7" s="11" t="s">
        <v>21</v>
      </c>
      <c r="O7" s="10" t="s">
        <v>65</v>
      </c>
      <c r="P7" s="26">
        <f t="shared" si="4"/>
        <v>3</v>
      </c>
      <c r="Q7" s="11" t="s">
        <v>41</v>
      </c>
      <c r="R7" s="10" t="s">
        <v>69</v>
      </c>
      <c r="S7" s="26">
        <f t="shared" si="5"/>
        <v>3</v>
      </c>
      <c r="T7" s="11" t="s">
        <v>21</v>
      </c>
      <c r="U7" s="10" t="s">
        <v>72</v>
      </c>
      <c r="V7" s="26">
        <f t="shared" si="6"/>
        <v>0</v>
      </c>
      <c r="W7" s="11" t="s">
        <v>42</v>
      </c>
      <c r="X7" s="10" t="s">
        <v>75</v>
      </c>
      <c r="Y7" s="26">
        <f t="shared" si="7"/>
        <v>0</v>
      </c>
      <c r="Z7" s="11" t="s">
        <v>40</v>
      </c>
      <c r="AA7" s="10" t="s">
        <v>79</v>
      </c>
      <c r="AB7" s="26">
        <f t="shared" si="8"/>
        <v>0</v>
      </c>
      <c r="AC7" s="11" t="s">
        <v>41</v>
      </c>
      <c r="AD7" s="10" t="s">
        <v>83</v>
      </c>
      <c r="AE7" s="26">
        <f t="shared" si="9"/>
        <v>0</v>
      </c>
      <c r="AF7" s="11" t="s">
        <v>33</v>
      </c>
      <c r="AG7" s="10" t="s">
        <v>84</v>
      </c>
      <c r="AH7" s="26">
        <f t="shared" si="10"/>
        <v>0</v>
      </c>
      <c r="AI7" s="10" t="s">
        <v>31</v>
      </c>
      <c r="AJ7" s="10" t="s">
        <v>90</v>
      </c>
      <c r="AK7" s="26">
        <f t="shared" si="11"/>
        <v>0</v>
      </c>
      <c r="AL7" s="11" t="s">
        <v>21</v>
      </c>
      <c r="AM7" s="10" t="s">
        <v>95</v>
      </c>
      <c r="AN7" s="26">
        <f t="shared" si="12"/>
        <v>0</v>
      </c>
      <c r="AO7" s="11" t="s">
        <v>33</v>
      </c>
      <c r="AP7" s="10" t="s">
        <v>99</v>
      </c>
      <c r="AQ7" s="26">
        <f t="shared" si="13"/>
        <v>0</v>
      </c>
      <c r="AR7" s="10" t="s">
        <v>33</v>
      </c>
      <c r="AS7" s="10" t="s">
        <v>102</v>
      </c>
      <c r="AT7" s="26">
        <f t="shared" si="14"/>
        <v>0</v>
      </c>
      <c r="AU7" s="10" t="s">
        <v>43</v>
      </c>
      <c r="AV7" s="17" t="s">
        <v>104</v>
      </c>
      <c r="AW7" s="26">
        <f t="shared" si="15"/>
        <v>0</v>
      </c>
      <c r="AX7" s="28">
        <v>43</v>
      </c>
      <c r="AY7" s="28">
        <f t="shared" si="16"/>
        <v>53</v>
      </c>
      <c r="AZ7" s="29" t="str">
        <f t="shared" si="17"/>
        <v>Benjamín Arregui</v>
      </c>
    </row>
    <row r="8" spans="1:52" x14ac:dyDescent="0.25">
      <c r="A8" s="2" t="s">
        <v>7</v>
      </c>
      <c r="B8" s="8" t="s">
        <v>20</v>
      </c>
      <c r="C8" s="8" t="s">
        <v>25</v>
      </c>
      <c r="D8" s="26">
        <f t="shared" si="0"/>
        <v>1</v>
      </c>
      <c r="E8" s="9" t="s">
        <v>40</v>
      </c>
      <c r="F8" s="8" t="s">
        <v>36</v>
      </c>
      <c r="G8" s="26">
        <f t="shared" si="1"/>
        <v>0</v>
      </c>
      <c r="H8" s="8" t="s">
        <v>41</v>
      </c>
      <c r="I8" s="8" t="s">
        <v>45</v>
      </c>
      <c r="J8" s="26">
        <f t="shared" si="2"/>
        <v>0</v>
      </c>
      <c r="K8" s="9" t="s">
        <v>32</v>
      </c>
      <c r="L8" s="8" t="s">
        <v>62</v>
      </c>
      <c r="M8" s="26">
        <f t="shared" si="3"/>
        <v>1</v>
      </c>
      <c r="N8" s="8" t="s">
        <v>50</v>
      </c>
      <c r="O8" s="8" t="s">
        <v>65</v>
      </c>
      <c r="P8" s="26">
        <f t="shared" si="4"/>
        <v>1</v>
      </c>
      <c r="Q8" s="9" t="s">
        <v>23</v>
      </c>
      <c r="R8" s="8" t="s">
        <v>69</v>
      </c>
      <c r="S8" s="26">
        <f t="shared" si="5"/>
        <v>1</v>
      </c>
      <c r="T8" s="9" t="s">
        <v>34</v>
      </c>
      <c r="U8" s="8" t="s">
        <v>71</v>
      </c>
      <c r="V8" s="26">
        <f t="shared" si="6"/>
        <v>1</v>
      </c>
      <c r="W8" s="9" t="s">
        <v>55</v>
      </c>
      <c r="X8" s="8" t="s">
        <v>75</v>
      </c>
      <c r="Y8" s="26">
        <f t="shared" si="7"/>
        <v>0</v>
      </c>
      <c r="Z8" s="9" t="s">
        <v>43</v>
      </c>
      <c r="AA8" s="8" t="s">
        <v>78</v>
      </c>
      <c r="AB8" s="26">
        <f t="shared" si="8"/>
        <v>0</v>
      </c>
      <c r="AC8" s="8" t="s">
        <v>33</v>
      </c>
      <c r="AD8" s="8" t="s">
        <v>83</v>
      </c>
      <c r="AE8" s="26">
        <f t="shared" si="9"/>
        <v>0</v>
      </c>
      <c r="AF8" s="8" t="s">
        <v>41</v>
      </c>
      <c r="AG8" s="8" t="s">
        <v>84</v>
      </c>
      <c r="AH8" s="26">
        <f t="shared" si="10"/>
        <v>0</v>
      </c>
      <c r="AI8" s="9" t="s">
        <v>34</v>
      </c>
      <c r="AJ8" s="8" t="s">
        <v>90</v>
      </c>
      <c r="AK8" s="26">
        <f t="shared" si="11"/>
        <v>0</v>
      </c>
      <c r="AL8" s="9" t="s">
        <v>23</v>
      </c>
      <c r="AM8" s="8" t="s">
        <v>94</v>
      </c>
      <c r="AN8" s="26">
        <f t="shared" si="12"/>
        <v>0</v>
      </c>
      <c r="AO8" s="9" t="s">
        <v>21</v>
      </c>
      <c r="AP8" s="8" t="s">
        <v>98</v>
      </c>
      <c r="AQ8" s="26">
        <f t="shared" si="13"/>
        <v>0</v>
      </c>
      <c r="AR8" s="9" t="s">
        <v>23</v>
      </c>
      <c r="AS8" s="8" t="s">
        <v>102</v>
      </c>
      <c r="AT8" s="26">
        <f t="shared" si="14"/>
        <v>0</v>
      </c>
      <c r="AU8" s="9" t="s">
        <v>33</v>
      </c>
      <c r="AV8" s="16" t="s">
        <v>104</v>
      </c>
      <c r="AW8" s="26">
        <f t="shared" si="15"/>
        <v>0</v>
      </c>
      <c r="AX8" s="28">
        <v>42</v>
      </c>
      <c r="AY8" s="28">
        <f t="shared" si="16"/>
        <v>47</v>
      </c>
      <c r="AZ8" s="29" t="str">
        <f t="shared" si="17"/>
        <v>Lucas Marin</v>
      </c>
    </row>
    <row r="9" spans="1:52" x14ac:dyDescent="0.25">
      <c r="A9" s="3" t="s">
        <v>8</v>
      </c>
      <c r="B9" s="11" t="s">
        <v>21</v>
      </c>
      <c r="C9" s="11" t="s">
        <v>25</v>
      </c>
      <c r="D9" s="26">
        <f t="shared" si="0"/>
        <v>1</v>
      </c>
      <c r="E9" s="10" t="s">
        <v>31</v>
      </c>
      <c r="F9" s="11" t="s">
        <v>35</v>
      </c>
      <c r="G9" s="26">
        <f t="shared" si="1"/>
        <v>1</v>
      </c>
      <c r="H9" s="10" t="s">
        <v>33</v>
      </c>
      <c r="I9" s="11" t="s">
        <v>45</v>
      </c>
      <c r="J9" s="26">
        <f t="shared" si="2"/>
        <v>0</v>
      </c>
      <c r="K9" s="11" t="s">
        <v>48</v>
      </c>
      <c r="L9" s="11" t="s">
        <v>61</v>
      </c>
      <c r="M9" s="26">
        <f t="shared" si="3"/>
        <v>0</v>
      </c>
      <c r="N9" s="11" t="s">
        <v>21</v>
      </c>
      <c r="O9" s="11" t="s">
        <v>65</v>
      </c>
      <c r="P9" s="26">
        <f t="shared" si="4"/>
        <v>3</v>
      </c>
      <c r="Q9" s="11" t="s">
        <v>43</v>
      </c>
      <c r="R9" s="11" t="s">
        <v>69</v>
      </c>
      <c r="S9" s="26">
        <f t="shared" si="5"/>
        <v>1</v>
      </c>
      <c r="T9" s="10" t="s">
        <v>31</v>
      </c>
      <c r="U9" s="11" t="s">
        <v>71</v>
      </c>
      <c r="V9" s="26">
        <f t="shared" si="6"/>
        <v>1</v>
      </c>
      <c r="W9" s="10" t="s">
        <v>41</v>
      </c>
      <c r="X9" s="11" t="s">
        <v>75</v>
      </c>
      <c r="Y9" s="26">
        <f t="shared" si="7"/>
        <v>0</v>
      </c>
      <c r="Z9" s="10" t="s">
        <v>24</v>
      </c>
      <c r="AA9" s="11" t="s">
        <v>79</v>
      </c>
      <c r="AB9" s="26">
        <f t="shared" si="8"/>
        <v>0</v>
      </c>
      <c r="AC9" s="11" t="s">
        <v>40</v>
      </c>
      <c r="AD9" s="11" t="s">
        <v>83</v>
      </c>
      <c r="AE9" s="26">
        <f t="shared" si="9"/>
        <v>0</v>
      </c>
      <c r="AF9" s="11" t="s">
        <v>43</v>
      </c>
      <c r="AG9" s="11" t="s">
        <v>84</v>
      </c>
      <c r="AH9" s="26">
        <f t="shared" si="10"/>
        <v>0</v>
      </c>
      <c r="AI9" s="10" t="s">
        <v>24</v>
      </c>
      <c r="AJ9" s="11" t="s">
        <v>91</v>
      </c>
      <c r="AK9" s="26">
        <f t="shared" si="11"/>
        <v>0</v>
      </c>
      <c r="AL9" s="11" t="s">
        <v>23</v>
      </c>
      <c r="AM9" s="11" t="s">
        <v>94</v>
      </c>
      <c r="AN9" s="26">
        <f t="shared" si="12"/>
        <v>0</v>
      </c>
      <c r="AO9" s="10" t="s">
        <v>31</v>
      </c>
      <c r="AP9" s="11" t="s">
        <v>99</v>
      </c>
      <c r="AQ9" s="26">
        <f t="shared" si="13"/>
        <v>0</v>
      </c>
      <c r="AR9" s="11" t="s">
        <v>43</v>
      </c>
      <c r="AS9" s="11" t="s">
        <v>102</v>
      </c>
      <c r="AT9" s="26">
        <f t="shared" si="14"/>
        <v>0</v>
      </c>
      <c r="AU9" s="11" t="s">
        <v>33</v>
      </c>
      <c r="AV9" s="19" t="s">
        <v>104</v>
      </c>
      <c r="AW9" s="26">
        <f t="shared" si="15"/>
        <v>0</v>
      </c>
      <c r="AX9" s="28">
        <v>42</v>
      </c>
      <c r="AY9" s="28">
        <f t="shared" si="16"/>
        <v>49</v>
      </c>
      <c r="AZ9" s="29" t="str">
        <f t="shared" si="17"/>
        <v>Yago Sayas</v>
      </c>
    </row>
    <row r="10" spans="1:52" x14ac:dyDescent="0.25">
      <c r="A10" s="2" t="s">
        <v>9</v>
      </c>
      <c r="B10" s="8" t="s">
        <v>20</v>
      </c>
      <c r="C10" s="8" t="s">
        <v>25</v>
      </c>
      <c r="D10" s="26">
        <f t="shared" si="0"/>
        <v>1</v>
      </c>
      <c r="E10" s="9" t="s">
        <v>21</v>
      </c>
      <c r="F10" s="8" t="s">
        <v>36</v>
      </c>
      <c r="G10" s="26">
        <f t="shared" si="1"/>
        <v>0</v>
      </c>
      <c r="H10" s="9" t="s">
        <v>43</v>
      </c>
      <c r="I10" s="8" t="s">
        <v>45</v>
      </c>
      <c r="J10" s="26">
        <f t="shared" si="2"/>
        <v>0</v>
      </c>
      <c r="K10" s="9" t="s">
        <v>40</v>
      </c>
      <c r="L10" s="8" t="s">
        <v>62</v>
      </c>
      <c r="M10" s="26">
        <f t="shared" si="3"/>
        <v>3</v>
      </c>
      <c r="N10" s="9" t="s">
        <v>27</v>
      </c>
      <c r="O10" s="8" t="s">
        <v>65</v>
      </c>
      <c r="P10" s="26">
        <f t="shared" si="4"/>
        <v>1</v>
      </c>
      <c r="Q10" s="8" t="s">
        <v>53</v>
      </c>
      <c r="R10" s="8" t="s">
        <v>69</v>
      </c>
      <c r="S10" s="26">
        <f t="shared" si="5"/>
        <v>1</v>
      </c>
      <c r="T10" s="9" t="s">
        <v>40</v>
      </c>
      <c r="U10" s="8" t="s">
        <v>71</v>
      </c>
      <c r="V10" s="26">
        <f t="shared" si="6"/>
        <v>1</v>
      </c>
      <c r="W10" s="8" t="s">
        <v>41</v>
      </c>
      <c r="X10" s="8" t="s">
        <v>75</v>
      </c>
      <c r="Y10" s="26">
        <f t="shared" si="7"/>
        <v>0</v>
      </c>
      <c r="Z10" s="9" t="s">
        <v>23</v>
      </c>
      <c r="AA10" s="8" t="s">
        <v>78</v>
      </c>
      <c r="AB10" s="26">
        <f t="shared" si="8"/>
        <v>0</v>
      </c>
      <c r="AC10" s="8" t="s">
        <v>33</v>
      </c>
      <c r="AD10" s="8" t="s">
        <v>83</v>
      </c>
      <c r="AE10" s="26">
        <f t="shared" si="9"/>
        <v>0</v>
      </c>
      <c r="AF10" s="8" t="s">
        <v>33</v>
      </c>
      <c r="AG10" s="8" t="s">
        <v>84</v>
      </c>
      <c r="AH10" s="26">
        <f t="shared" si="10"/>
        <v>0</v>
      </c>
      <c r="AI10" s="9" t="s">
        <v>40</v>
      </c>
      <c r="AJ10" s="8" t="s">
        <v>90</v>
      </c>
      <c r="AK10" s="26">
        <f t="shared" si="11"/>
        <v>0</v>
      </c>
      <c r="AL10" s="8" t="s">
        <v>24</v>
      </c>
      <c r="AM10" s="8" t="s">
        <v>95</v>
      </c>
      <c r="AN10" s="26">
        <f t="shared" si="12"/>
        <v>0</v>
      </c>
      <c r="AO10" s="8" t="s">
        <v>24</v>
      </c>
      <c r="AP10" s="8" t="s">
        <v>98</v>
      </c>
      <c r="AQ10" s="26">
        <f t="shared" si="13"/>
        <v>0</v>
      </c>
      <c r="AR10" s="8" t="s">
        <v>33</v>
      </c>
      <c r="AS10" s="8" t="s">
        <v>102</v>
      </c>
      <c r="AT10" s="26">
        <f t="shared" si="14"/>
        <v>0</v>
      </c>
      <c r="AU10" s="8" t="s">
        <v>23</v>
      </c>
      <c r="AV10" s="16" t="s">
        <v>104</v>
      </c>
      <c r="AW10" s="26">
        <f t="shared" si="15"/>
        <v>0</v>
      </c>
      <c r="AX10" s="28">
        <v>44</v>
      </c>
      <c r="AY10" s="28">
        <f t="shared" si="16"/>
        <v>51</v>
      </c>
      <c r="AZ10" s="29" t="str">
        <f t="shared" si="17"/>
        <v>Ignacio Saavedra</v>
      </c>
    </row>
    <row r="11" spans="1:52" x14ac:dyDescent="0.25">
      <c r="A11" s="3" t="s">
        <v>10</v>
      </c>
      <c r="B11" s="11" t="s">
        <v>23</v>
      </c>
      <c r="C11" s="11" t="s">
        <v>26</v>
      </c>
      <c r="D11" s="26">
        <f t="shared" si="0"/>
        <v>0</v>
      </c>
      <c r="E11" s="11" t="s">
        <v>27</v>
      </c>
      <c r="F11" s="11" t="s">
        <v>36</v>
      </c>
      <c r="G11" s="26">
        <f t="shared" si="1"/>
        <v>0</v>
      </c>
      <c r="H11" s="10" t="s">
        <v>33</v>
      </c>
      <c r="I11" s="11" t="s">
        <v>45</v>
      </c>
      <c r="J11" s="26">
        <f t="shared" si="2"/>
        <v>0</v>
      </c>
      <c r="K11" s="11" t="s">
        <v>43</v>
      </c>
      <c r="L11" s="11" t="s">
        <v>61</v>
      </c>
      <c r="M11" s="26">
        <f t="shared" si="3"/>
        <v>0</v>
      </c>
      <c r="N11" s="11" t="s">
        <v>27</v>
      </c>
      <c r="O11" s="11" t="s">
        <v>65</v>
      </c>
      <c r="P11" s="26">
        <f t="shared" si="4"/>
        <v>1</v>
      </c>
      <c r="Q11" s="11" t="s">
        <v>52</v>
      </c>
      <c r="R11" s="11" t="s">
        <v>69</v>
      </c>
      <c r="S11" s="26">
        <f t="shared" si="5"/>
        <v>1</v>
      </c>
      <c r="T11" s="11" t="s">
        <v>40</v>
      </c>
      <c r="U11" s="11" t="s">
        <v>71</v>
      </c>
      <c r="V11" s="26">
        <f t="shared" si="6"/>
        <v>1</v>
      </c>
      <c r="W11" s="11" t="s">
        <v>43</v>
      </c>
      <c r="X11" s="11" t="s">
        <v>75</v>
      </c>
      <c r="Y11" s="26">
        <f t="shared" si="7"/>
        <v>0</v>
      </c>
      <c r="Z11" s="10" t="s">
        <v>31</v>
      </c>
      <c r="AA11" s="11" t="s">
        <v>78</v>
      </c>
      <c r="AB11" s="26">
        <f t="shared" si="8"/>
        <v>0</v>
      </c>
      <c r="AC11" s="10" t="s">
        <v>33</v>
      </c>
      <c r="AD11" s="11" t="s">
        <v>83</v>
      </c>
      <c r="AE11" s="26">
        <f t="shared" si="9"/>
        <v>0</v>
      </c>
      <c r="AF11" s="11" t="s">
        <v>48</v>
      </c>
      <c r="AG11" s="11" t="s">
        <v>84</v>
      </c>
      <c r="AH11" s="26">
        <f t="shared" si="10"/>
        <v>0</v>
      </c>
      <c r="AI11" s="10" t="s">
        <v>31</v>
      </c>
      <c r="AJ11" s="11" t="s">
        <v>90</v>
      </c>
      <c r="AK11" s="26">
        <f t="shared" si="11"/>
        <v>0</v>
      </c>
      <c r="AL11" s="10" t="s">
        <v>33</v>
      </c>
      <c r="AM11" s="11" t="s">
        <v>94</v>
      </c>
      <c r="AN11" s="26">
        <f t="shared" si="12"/>
        <v>0</v>
      </c>
      <c r="AO11" s="11" t="s">
        <v>21</v>
      </c>
      <c r="AP11" s="11" t="s">
        <v>98</v>
      </c>
      <c r="AQ11" s="26">
        <f t="shared" si="13"/>
        <v>0</v>
      </c>
      <c r="AR11" s="10" t="s">
        <v>41</v>
      </c>
      <c r="AS11" s="11" t="s">
        <v>102</v>
      </c>
      <c r="AT11" s="26">
        <f t="shared" si="14"/>
        <v>0</v>
      </c>
      <c r="AU11" s="10" t="s">
        <v>80</v>
      </c>
      <c r="AV11" s="19" t="s">
        <v>104</v>
      </c>
      <c r="AW11" s="26">
        <f t="shared" si="15"/>
        <v>0</v>
      </c>
      <c r="AX11" s="28">
        <v>40</v>
      </c>
      <c r="AY11" s="28">
        <f t="shared" si="16"/>
        <v>43</v>
      </c>
      <c r="AZ11" s="29" t="str">
        <f t="shared" si="17"/>
        <v>Facundo Gasparini</v>
      </c>
    </row>
    <row r="12" spans="1:52" x14ac:dyDescent="0.25">
      <c r="A12" s="2" t="s">
        <v>11</v>
      </c>
      <c r="B12" s="8" t="s">
        <v>20</v>
      </c>
      <c r="C12" s="8" t="s">
        <v>25</v>
      </c>
      <c r="D12" s="26">
        <f t="shared" si="0"/>
        <v>1</v>
      </c>
      <c r="E12" s="9" t="s">
        <v>23</v>
      </c>
      <c r="F12" s="8" t="s">
        <v>35</v>
      </c>
      <c r="G12" s="26">
        <f t="shared" si="1"/>
        <v>3</v>
      </c>
      <c r="H12" s="9" t="s">
        <v>43</v>
      </c>
      <c r="I12" s="8" t="s">
        <v>45</v>
      </c>
      <c r="J12" s="26">
        <f t="shared" si="2"/>
        <v>0</v>
      </c>
      <c r="K12" s="9" t="s">
        <v>34</v>
      </c>
      <c r="L12" s="8" t="s">
        <v>61</v>
      </c>
      <c r="M12" s="26">
        <f t="shared" si="3"/>
        <v>0</v>
      </c>
      <c r="N12" s="9" t="s">
        <v>21</v>
      </c>
      <c r="O12" s="8" t="s">
        <v>65</v>
      </c>
      <c r="P12" s="26">
        <f t="shared" si="4"/>
        <v>3</v>
      </c>
      <c r="Q12" s="9" t="s">
        <v>42</v>
      </c>
      <c r="R12" s="8" t="s">
        <v>69</v>
      </c>
      <c r="S12" s="26">
        <f t="shared" si="5"/>
        <v>1</v>
      </c>
      <c r="T12" s="8" t="s">
        <v>31</v>
      </c>
      <c r="U12" s="8" t="s">
        <v>71</v>
      </c>
      <c r="V12" s="26">
        <f t="shared" si="6"/>
        <v>1</v>
      </c>
      <c r="W12" s="8" t="s">
        <v>33</v>
      </c>
      <c r="X12" s="8" t="s">
        <v>75</v>
      </c>
      <c r="Y12" s="26">
        <f t="shared" si="7"/>
        <v>0</v>
      </c>
      <c r="Z12" s="9" t="s">
        <v>21</v>
      </c>
      <c r="AA12" s="8" t="s">
        <v>79</v>
      </c>
      <c r="AB12" s="26">
        <f t="shared" si="8"/>
        <v>0</v>
      </c>
      <c r="AC12" s="8" t="s">
        <v>41</v>
      </c>
      <c r="AD12" s="8" t="s">
        <v>83</v>
      </c>
      <c r="AE12" s="26">
        <f t="shared" si="9"/>
        <v>0</v>
      </c>
      <c r="AF12" s="8" t="s">
        <v>31</v>
      </c>
      <c r="AG12" s="8" t="s">
        <v>84</v>
      </c>
      <c r="AH12" s="26">
        <f t="shared" si="10"/>
        <v>0</v>
      </c>
      <c r="AI12" s="9" t="s">
        <v>23</v>
      </c>
      <c r="AJ12" s="8" t="s">
        <v>90</v>
      </c>
      <c r="AK12" s="26">
        <f t="shared" si="11"/>
        <v>0</v>
      </c>
      <c r="AL12" s="9" t="s">
        <v>21</v>
      </c>
      <c r="AM12" s="8" t="s">
        <v>95</v>
      </c>
      <c r="AN12" s="26">
        <f t="shared" si="12"/>
        <v>0</v>
      </c>
      <c r="AO12" s="8" t="s">
        <v>31</v>
      </c>
      <c r="AP12" s="8" t="s">
        <v>99</v>
      </c>
      <c r="AQ12" s="26">
        <f t="shared" si="13"/>
        <v>0</v>
      </c>
      <c r="AR12" s="8" t="s">
        <v>41</v>
      </c>
      <c r="AS12" s="8" t="s">
        <v>102</v>
      </c>
      <c r="AT12" s="26">
        <f t="shared" si="14"/>
        <v>0</v>
      </c>
      <c r="AU12" s="8" t="s">
        <v>33</v>
      </c>
      <c r="AV12" s="16" t="s">
        <v>104</v>
      </c>
      <c r="AW12" s="26">
        <f t="shared" si="15"/>
        <v>0</v>
      </c>
      <c r="AX12" s="28">
        <v>43</v>
      </c>
      <c r="AY12" s="28">
        <f t="shared" si="16"/>
        <v>52</v>
      </c>
      <c r="AZ12" s="29" t="str">
        <f t="shared" si="17"/>
        <v>Mateo Mora</v>
      </c>
    </row>
    <row r="13" spans="1:52" x14ac:dyDescent="0.25">
      <c r="A13" s="3" t="s">
        <v>12</v>
      </c>
      <c r="B13" s="10" t="s">
        <v>20</v>
      </c>
      <c r="C13" s="10" t="s">
        <v>25</v>
      </c>
      <c r="D13" s="26">
        <f t="shared" si="0"/>
        <v>1</v>
      </c>
      <c r="E13" s="11" t="s">
        <v>21</v>
      </c>
      <c r="F13" s="10" t="s">
        <v>36</v>
      </c>
      <c r="G13" s="26">
        <f t="shared" si="1"/>
        <v>0</v>
      </c>
      <c r="H13" s="11" t="s">
        <v>40</v>
      </c>
      <c r="I13" s="10" t="s">
        <v>47</v>
      </c>
      <c r="J13" s="26">
        <f t="shared" si="2"/>
        <v>3</v>
      </c>
      <c r="K13" s="11" t="s">
        <v>32</v>
      </c>
      <c r="L13" s="10" t="s">
        <v>62</v>
      </c>
      <c r="M13" s="26">
        <f t="shared" si="3"/>
        <v>1</v>
      </c>
      <c r="N13" s="11" t="s">
        <v>27</v>
      </c>
      <c r="O13" s="10" t="s">
        <v>65</v>
      </c>
      <c r="P13" s="26">
        <f t="shared" si="4"/>
        <v>1</v>
      </c>
      <c r="Q13" s="10" t="s">
        <v>41</v>
      </c>
      <c r="R13" s="10" t="s">
        <v>69</v>
      </c>
      <c r="S13" s="26">
        <f t="shared" si="5"/>
        <v>3</v>
      </c>
      <c r="T13" s="11" t="s">
        <v>21</v>
      </c>
      <c r="U13" s="10" t="s">
        <v>72</v>
      </c>
      <c r="V13" s="26">
        <f t="shared" si="6"/>
        <v>0</v>
      </c>
      <c r="W13" s="10" t="s">
        <v>41</v>
      </c>
      <c r="X13" s="10" t="s">
        <v>75</v>
      </c>
      <c r="Y13" s="26">
        <f t="shared" si="7"/>
        <v>0</v>
      </c>
      <c r="Z13" s="11" t="s">
        <v>80</v>
      </c>
      <c r="AA13" s="10" t="s">
        <v>78</v>
      </c>
      <c r="AB13" s="26">
        <f t="shared" si="8"/>
        <v>0</v>
      </c>
      <c r="AC13" s="10" t="s">
        <v>53</v>
      </c>
      <c r="AD13" s="10" t="s">
        <v>83</v>
      </c>
      <c r="AE13" s="26">
        <f t="shared" si="9"/>
        <v>0</v>
      </c>
      <c r="AF13" s="11" t="s">
        <v>43</v>
      </c>
      <c r="AG13" s="10" t="s">
        <v>84</v>
      </c>
      <c r="AH13" s="26">
        <f t="shared" si="10"/>
        <v>0</v>
      </c>
      <c r="AI13" s="11" t="s">
        <v>23</v>
      </c>
      <c r="AJ13" s="10" t="s">
        <v>90</v>
      </c>
      <c r="AK13" s="26">
        <f t="shared" si="11"/>
        <v>0</v>
      </c>
      <c r="AL13" s="11" t="s">
        <v>21</v>
      </c>
      <c r="AM13" s="10" t="s">
        <v>95</v>
      </c>
      <c r="AN13" s="26">
        <f t="shared" si="12"/>
        <v>0</v>
      </c>
      <c r="AO13" s="11" t="s">
        <v>32</v>
      </c>
      <c r="AP13" s="10" t="s">
        <v>98</v>
      </c>
      <c r="AQ13" s="26">
        <f t="shared" si="13"/>
        <v>0</v>
      </c>
      <c r="AR13" s="10" t="s">
        <v>33</v>
      </c>
      <c r="AS13" s="10" t="s">
        <v>102</v>
      </c>
      <c r="AT13" s="26">
        <f t="shared" si="14"/>
        <v>0</v>
      </c>
      <c r="AU13" s="10" t="s">
        <v>23</v>
      </c>
      <c r="AV13" s="17" t="s">
        <v>104</v>
      </c>
      <c r="AW13" s="26">
        <f t="shared" si="15"/>
        <v>0</v>
      </c>
      <c r="AX13" s="28">
        <v>37</v>
      </c>
      <c r="AY13" s="28">
        <f t="shared" si="16"/>
        <v>46</v>
      </c>
      <c r="AZ13" s="29" t="str">
        <f t="shared" si="17"/>
        <v>Danilo Giacobini</v>
      </c>
    </row>
    <row r="14" spans="1:52" x14ac:dyDescent="0.25">
      <c r="A14" s="2" t="s">
        <v>13</v>
      </c>
      <c r="B14" s="9" t="s">
        <v>21</v>
      </c>
      <c r="C14" s="9" t="s">
        <v>25</v>
      </c>
      <c r="D14" s="26">
        <f t="shared" si="0"/>
        <v>1</v>
      </c>
      <c r="E14" s="9" t="s">
        <v>34</v>
      </c>
      <c r="F14" s="9" t="s">
        <v>35</v>
      </c>
      <c r="G14" s="26">
        <f t="shared" si="1"/>
        <v>1</v>
      </c>
      <c r="H14" s="9" t="s">
        <v>43</v>
      </c>
      <c r="I14" s="9" t="s">
        <v>45</v>
      </c>
      <c r="J14" s="26">
        <f t="shared" si="2"/>
        <v>0</v>
      </c>
      <c r="K14" s="9" t="s">
        <v>23</v>
      </c>
      <c r="L14" s="9" t="s">
        <v>61</v>
      </c>
      <c r="M14" s="26">
        <f t="shared" si="3"/>
        <v>0</v>
      </c>
      <c r="N14" s="8" t="s">
        <v>24</v>
      </c>
      <c r="O14" s="9" t="s">
        <v>65</v>
      </c>
      <c r="P14" s="26">
        <f t="shared" si="4"/>
        <v>1</v>
      </c>
      <c r="Q14" s="8" t="s">
        <v>41</v>
      </c>
      <c r="R14" s="9" t="s">
        <v>69</v>
      </c>
      <c r="S14" s="26">
        <f t="shared" si="5"/>
        <v>3</v>
      </c>
      <c r="T14" s="8" t="s">
        <v>20</v>
      </c>
      <c r="U14" s="9" t="s">
        <v>72</v>
      </c>
      <c r="V14" s="26">
        <f t="shared" si="6"/>
        <v>0</v>
      </c>
      <c r="W14" s="8" t="s">
        <v>53</v>
      </c>
      <c r="X14" s="9" t="s">
        <v>75</v>
      </c>
      <c r="Y14" s="26">
        <f t="shared" si="7"/>
        <v>0</v>
      </c>
      <c r="Z14" s="9" t="s">
        <v>40</v>
      </c>
      <c r="AA14" s="9" t="s">
        <v>79</v>
      </c>
      <c r="AB14" s="26">
        <f t="shared" si="8"/>
        <v>0</v>
      </c>
      <c r="AC14" s="8" t="s">
        <v>41</v>
      </c>
      <c r="AD14" s="9" t="s">
        <v>83</v>
      </c>
      <c r="AE14" s="26">
        <f t="shared" si="9"/>
        <v>0</v>
      </c>
      <c r="AF14" s="9" t="s">
        <v>23</v>
      </c>
      <c r="AG14" s="9" t="s">
        <v>84</v>
      </c>
      <c r="AH14" s="26">
        <f t="shared" si="10"/>
        <v>0</v>
      </c>
      <c r="AI14" s="9" t="s">
        <v>57</v>
      </c>
      <c r="AJ14" s="9" t="s">
        <v>90</v>
      </c>
      <c r="AK14" s="26">
        <f t="shared" si="11"/>
        <v>0</v>
      </c>
      <c r="AL14" s="9" t="s">
        <v>23</v>
      </c>
      <c r="AM14" s="9" t="s">
        <v>94</v>
      </c>
      <c r="AN14" s="26">
        <f t="shared" si="12"/>
        <v>0</v>
      </c>
      <c r="AO14" s="8" t="s">
        <v>24</v>
      </c>
      <c r="AP14" s="9" t="s">
        <v>98</v>
      </c>
      <c r="AQ14" s="26">
        <f t="shared" si="13"/>
        <v>0</v>
      </c>
      <c r="AR14" s="9" t="s">
        <v>23</v>
      </c>
      <c r="AS14" s="9" t="s">
        <v>102</v>
      </c>
      <c r="AT14" s="26">
        <f t="shared" si="14"/>
        <v>0</v>
      </c>
      <c r="AU14" s="9" t="s">
        <v>33</v>
      </c>
      <c r="AV14" s="18" t="s">
        <v>104</v>
      </c>
      <c r="AW14" s="26">
        <f t="shared" si="15"/>
        <v>0</v>
      </c>
      <c r="AX14" s="28">
        <v>42</v>
      </c>
      <c r="AY14" s="28">
        <f t="shared" si="16"/>
        <v>48</v>
      </c>
      <c r="AZ14" s="29" t="str">
        <f t="shared" si="17"/>
        <v>Thiago Campobello</v>
      </c>
    </row>
    <row r="15" spans="1:52" x14ac:dyDescent="0.25">
      <c r="A15" s="3" t="s">
        <v>14</v>
      </c>
      <c r="B15" s="10" t="s">
        <v>24</v>
      </c>
      <c r="C15" s="10" t="s">
        <v>25</v>
      </c>
      <c r="D15" s="26">
        <f t="shared" si="0"/>
        <v>3</v>
      </c>
      <c r="E15" s="11" t="s">
        <v>23</v>
      </c>
      <c r="F15" s="10" t="s">
        <v>35</v>
      </c>
      <c r="G15" s="26">
        <f t="shared" si="1"/>
        <v>3</v>
      </c>
      <c r="H15" s="11" t="s">
        <v>23</v>
      </c>
      <c r="I15" s="10" t="s">
        <v>45</v>
      </c>
      <c r="J15" s="26">
        <f t="shared" si="2"/>
        <v>0</v>
      </c>
      <c r="K15" s="11" t="s">
        <v>40</v>
      </c>
      <c r="L15" s="10" t="s">
        <v>62</v>
      </c>
      <c r="M15" s="26">
        <f t="shared" si="3"/>
        <v>3</v>
      </c>
      <c r="N15" s="10" t="s">
        <v>31</v>
      </c>
      <c r="O15" s="10" t="s">
        <v>66</v>
      </c>
      <c r="P15" s="26">
        <f t="shared" si="4"/>
        <v>0</v>
      </c>
      <c r="Q15" s="11" t="s">
        <v>48</v>
      </c>
      <c r="R15" s="10" t="s">
        <v>69</v>
      </c>
      <c r="S15" s="26">
        <f t="shared" si="5"/>
        <v>1</v>
      </c>
      <c r="T15" s="11" t="s">
        <v>21</v>
      </c>
      <c r="U15" s="10" t="s">
        <v>72</v>
      </c>
      <c r="V15" s="26">
        <f t="shared" si="6"/>
        <v>0</v>
      </c>
      <c r="W15" s="11" t="s">
        <v>40</v>
      </c>
      <c r="X15" s="10" t="s">
        <v>75</v>
      </c>
      <c r="Y15" s="26">
        <f t="shared" si="7"/>
        <v>0</v>
      </c>
      <c r="Z15" s="11" t="s">
        <v>23</v>
      </c>
      <c r="AA15" s="10" t="s">
        <v>78</v>
      </c>
      <c r="AB15" s="26">
        <f t="shared" si="8"/>
        <v>0</v>
      </c>
      <c r="AC15" s="10" t="s">
        <v>31</v>
      </c>
      <c r="AD15" s="10" t="s">
        <v>83</v>
      </c>
      <c r="AE15" s="26">
        <f t="shared" si="9"/>
        <v>0</v>
      </c>
      <c r="AF15" s="10" t="s">
        <v>31</v>
      </c>
      <c r="AG15" s="10" t="s">
        <v>84</v>
      </c>
      <c r="AH15" s="26">
        <f t="shared" si="10"/>
        <v>0</v>
      </c>
      <c r="AI15" s="10" t="s">
        <v>24</v>
      </c>
      <c r="AJ15" s="10" t="s">
        <v>91</v>
      </c>
      <c r="AK15" s="26">
        <f t="shared" si="11"/>
        <v>0</v>
      </c>
      <c r="AL15" s="11" t="s">
        <v>21</v>
      </c>
      <c r="AM15" s="10" t="s">
        <v>95</v>
      </c>
      <c r="AN15" s="26">
        <f t="shared" si="12"/>
        <v>0</v>
      </c>
      <c r="AO15" s="11" t="s">
        <v>40</v>
      </c>
      <c r="AP15" s="10" t="s">
        <v>98</v>
      </c>
      <c r="AQ15" s="26">
        <f t="shared" si="13"/>
        <v>0</v>
      </c>
      <c r="AR15" s="11" t="s">
        <v>43</v>
      </c>
      <c r="AS15" s="10" t="s">
        <v>102</v>
      </c>
      <c r="AT15" s="26">
        <f t="shared" si="14"/>
        <v>0</v>
      </c>
      <c r="AU15" s="11" t="s">
        <v>40</v>
      </c>
      <c r="AV15" s="17" t="s">
        <v>105</v>
      </c>
      <c r="AW15" s="26">
        <f t="shared" si="15"/>
        <v>0</v>
      </c>
      <c r="AX15" s="28">
        <v>40</v>
      </c>
      <c r="AY15" s="28">
        <f t="shared" si="16"/>
        <v>50</v>
      </c>
      <c r="AZ15" s="29" t="str">
        <f t="shared" si="17"/>
        <v>Valentino Russo</v>
      </c>
    </row>
    <row r="16" spans="1:52" x14ac:dyDescent="0.25">
      <c r="A16" s="2" t="s">
        <v>15</v>
      </c>
      <c r="B16" s="9" t="s">
        <v>21</v>
      </c>
      <c r="C16" s="9" t="s">
        <v>25</v>
      </c>
      <c r="D16" s="26">
        <f t="shared" si="0"/>
        <v>1</v>
      </c>
      <c r="E16" s="9" t="s">
        <v>32</v>
      </c>
      <c r="F16" s="9" t="s">
        <v>36</v>
      </c>
      <c r="G16" s="26">
        <f t="shared" si="1"/>
        <v>0</v>
      </c>
      <c r="H16" s="8" t="s">
        <v>33</v>
      </c>
      <c r="I16" s="9" t="s">
        <v>45</v>
      </c>
      <c r="J16" s="26">
        <f t="shared" si="2"/>
        <v>0</v>
      </c>
      <c r="K16" s="9" t="s">
        <v>43</v>
      </c>
      <c r="L16" s="9" t="s">
        <v>61</v>
      </c>
      <c r="M16" s="26">
        <f t="shared" si="3"/>
        <v>0</v>
      </c>
      <c r="N16" s="9" t="s">
        <v>21</v>
      </c>
      <c r="O16" s="9" t="s">
        <v>65</v>
      </c>
      <c r="P16" s="26">
        <f t="shared" si="4"/>
        <v>3</v>
      </c>
      <c r="Q16" s="9" t="s">
        <v>42</v>
      </c>
      <c r="R16" s="9" t="s">
        <v>69</v>
      </c>
      <c r="S16" s="26">
        <f t="shared" si="5"/>
        <v>1</v>
      </c>
      <c r="T16" s="8" t="s">
        <v>20</v>
      </c>
      <c r="U16" s="9" t="s">
        <v>72</v>
      </c>
      <c r="V16" s="26">
        <f t="shared" si="6"/>
        <v>0</v>
      </c>
      <c r="W16" s="8" t="s">
        <v>41</v>
      </c>
      <c r="X16" s="9" t="s">
        <v>75</v>
      </c>
      <c r="Y16" s="26">
        <f t="shared" si="7"/>
        <v>0</v>
      </c>
      <c r="Z16" s="8" t="s">
        <v>20</v>
      </c>
      <c r="AA16" s="9" t="s">
        <v>79</v>
      </c>
      <c r="AB16" s="26">
        <f t="shared" si="8"/>
        <v>0</v>
      </c>
      <c r="AC16" s="9" t="s">
        <v>43</v>
      </c>
      <c r="AD16" s="9" t="s">
        <v>83</v>
      </c>
      <c r="AE16" s="26">
        <f t="shared" si="9"/>
        <v>0</v>
      </c>
      <c r="AF16" s="8" t="s">
        <v>53</v>
      </c>
      <c r="AG16" s="9" t="s">
        <v>84</v>
      </c>
      <c r="AH16" s="26">
        <f t="shared" si="10"/>
        <v>0</v>
      </c>
      <c r="AI16" s="9" t="s">
        <v>23</v>
      </c>
      <c r="AJ16" s="9" t="s">
        <v>90</v>
      </c>
      <c r="AK16" s="26">
        <f t="shared" si="11"/>
        <v>0</v>
      </c>
      <c r="AL16" s="9" t="s">
        <v>21</v>
      </c>
      <c r="AM16" s="9" t="s">
        <v>95</v>
      </c>
      <c r="AN16" s="26">
        <f t="shared" si="12"/>
        <v>0</v>
      </c>
      <c r="AO16" s="9" t="s">
        <v>40</v>
      </c>
      <c r="AP16" s="9" t="s">
        <v>99</v>
      </c>
      <c r="AQ16" s="26">
        <f t="shared" si="13"/>
        <v>0</v>
      </c>
      <c r="AR16" s="9" t="s">
        <v>42</v>
      </c>
      <c r="AS16" s="9" t="s">
        <v>102</v>
      </c>
      <c r="AT16" s="26">
        <f t="shared" si="14"/>
        <v>0</v>
      </c>
      <c r="AU16" s="9" t="s">
        <v>43</v>
      </c>
      <c r="AV16" s="18" t="s">
        <v>104</v>
      </c>
      <c r="AW16" s="26">
        <f t="shared" si="15"/>
        <v>0</v>
      </c>
      <c r="AX16" s="28">
        <v>37</v>
      </c>
      <c r="AY16" s="28">
        <f t="shared" si="16"/>
        <v>42</v>
      </c>
      <c r="AZ16" s="29" t="str">
        <f t="shared" si="17"/>
        <v>Luciano Grela</v>
      </c>
    </row>
    <row r="17" spans="1:52" x14ac:dyDescent="0.25">
      <c r="A17" s="3" t="s">
        <v>16</v>
      </c>
      <c r="B17" s="11" t="s">
        <v>21</v>
      </c>
      <c r="C17" s="11" t="s">
        <v>25</v>
      </c>
      <c r="D17" s="26">
        <f t="shared" si="0"/>
        <v>1</v>
      </c>
      <c r="E17" s="12" t="s">
        <v>33</v>
      </c>
      <c r="F17" s="11" t="s">
        <v>35</v>
      </c>
      <c r="G17" s="26">
        <f t="shared" si="1"/>
        <v>1</v>
      </c>
      <c r="H17" s="12" t="s">
        <v>40</v>
      </c>
      <c r="I17" s="11" t="s">
        <v>47</v>
      </c>
      <c r="J17" s="26">
        <f t="shared" si="2"/>
        <v>3</v>
      </c>
      <c r="K17" s="12" t="s">
        <v>34</v>
      </c>
      <c r="L17" s="11" t="s">
        <v>62</v>
      </c>
      <c r="M17" s="26">
        <f t="shared" si="3"/>
        <v>1</v>
      </c>
      <c r="N17" s="11" t="s">
        <v>21</v>
      </c>
      <c r="O17" s="11" t="s">
        <v>65</v>
      </c>
      <c r="P17" s="26">
        <f t="shared" si="4"/>
        <v>3</v>
      </c>
      <c r="Q17" s="11" t="s">
        <v>43</v>
      </c>
      <c r="R17" s="11" t="s">
        <v>69</v>
      </c>
      <c r="S17" s="26">
        <f t="shared" si="5"/>
        <v>1</v>
      </c>
      <c r="T17" s="10" t="s">
        <v>24</v>
      </c>
      <c r="U17" s="11" t="s">
        <v>72</v>
      </c>
      <c r="V17" s="26">
        <f t="shared" si="6"/>
        <v>0</v>
      </c>
      <c r="W17" s="10" t="s">
        <v>53</v>
      </c>
      <c r="X17" s="11" t="s">
        <v>75</v>
      </c>
      <c r="Y17" s="26">
        <f t="shared" si="7"/>
        <v>0</v>
      </c>
      <c r="Z17" s="11" t="s">
        <v>27</v>
      </c>
      <c r="AA17" s="11" t="s">
        <v>79</v>
      </c>
      <c r="AB17" s="26">
        <f t="shared" si="8"/>
        <v>0</v>
      </c>
      <c r="AC17" s="10" t="s">
        <v>33</v>
      </c>
      <c r="AD17" s="11" t="s">
        <v>83</v>
      </c>
      <c r="AE17" s="26">
        <f t="shared" si="9"/>
        <v>0</v>
      </c>
      <c r="AF17" s="10" t="s">
        <v>33</v>
      </c>
      <c r="AG17" s="11" t="s">
        <v>84</v>
      </c>
      <c r="AH17" s="26">
        <f t="shared" si="10"/>
        <v>0</v>
      </c>
      <c r="AI17" s="11" t="s">
        <v>40</v>
      </c>
      <c r="AJ17" s="11" t="s">
        <v>90</v>
      </c>
      <c r="AK17" s="26">
        <f t="shared" si="11"/>
        <v>0</v>
      </c>
      <c r="AL17" s="11" t="s">
        <v>21</v>
      </c>
      <c r="AM17" s="11" t="s">
        <v>95</v>
      </c>
      <c r="AN17" s="26">
        <f t="shared" si="12"/>
        <v>0</v>
      </c>
      <c r="AO17" s="11" t="s">
        <v>21</v>
      </c>
      <c r="AP17" s="11" t="s">
        <v>98</v>
      </c>
      <c r="AQ17" s="26">
        <f t="shared" si="13"/>
        <v>0</v>
      </c>
      <c r="AR17" s="10" t="s">
        <v>58</v>
      </c>
      <c r="AS17" s="11" t="s">
        <v>102</v>
      </c>
      <c r="AT17" s="26">
        <f t="shared" si="14"/>
        <v>0</v>
      </c>
      <c r="AU17" s="10" t="s">
        <v>33</v>
      </c>
      <c r="AV17" s="19" t="s">
        <v>104</v>
      </c>
      <c r="AW17" s="26">
        <f t="shared" si="15"/>
        <v>0</v>
      </c>
      <c r="AX17" s="28">
        <v>46</v>
      </c>
      <c r="AY17" s="28">
        <f t="shared" si="16"/>
        <v>56</v>
      </c>
      <c r="AZ17" s="29" t="str">
        <f t="shared" si="17"/>
        <v>Ciro Lopez</v>
      </c>
    </row>
    <row r="18" spans="1:52" x14ac:dyDescent="0.25">
      <c r="A18" s="4" t="s">
        <v>17</v>
      </c>
      <c r="B18" s="13" t="s">
        <v>37</v>
      </c>
      <c r="C18" s="13" t="s">
        <v>38</v>
      </c>
      <c r="D18" s="27">
        <f t="shared" si="0"/>
        <v>0</v>
      </c>
      <c r="E18" s="13" t="s">
        <v>38</v>
      </c>
      <c r="F18" s="13" t="s">
        <v>38</v>
      </c>
      <c r="G18" s="27">
        <f t="shared" si="1"/>
        <v>0</v>
      </c>
      <c r="H18" s="13"/>
      <c r="I18" s="13" t="s">
        <v>45</v>
      </c>
      <c r="J18" s="27">
        <f t="shared" si="2"/>
        <v>0</v>
      </c>
      <c r="K18" s="13"/>
      <c r="L18" s="13" t="s">
        <v>62</v>
      </c>
      <c r="M18" s="27">
        <f t="shared" si="3"/>
        <v>1</v>
      </c>
      <c r="N18" s="13"/>
      <c r="O18" s="13" t="s">
        <v>65</v>
      </c>
      <c r="P18" s="27">
        <f t="shared" si="4"/>
        <v>1</v>
      </c>
      <c r="Q18" s="22" t="s">
        <v>53</v>
      </c>
      <c r="R18" s="13" t="s">
        <v>69</v>
      </c>
      <c r="S18" s="27">
        <f t="shared" si="5"/>
        <v>1</v>
      </c>
      <c r="T18" s="22" t="s">
        <v>23</v>
      </c>
      <c r="U18" s="13" t="s">
        <v>71</v>
      </c>
      <c r="V18" s="26">
        <f t="shared" si="6"/>
        <v>1</v>
      </c>
      <c r="W18" s="22" t="s">
        <v>43</v>
      </c>
      <c r="X18" s="13" t="s">
        <v>75</v>
      </c>
      <c r="Y18" s="26">
        <f t="shared" si="7"/>
        <v>0</v>
      </c>
      <c r="Z18" s="22" t="s">
        <v>23</v>
      </c>
      <c r="AA18" s="13" t="s">
        <v>78</v>
      </c>
      <c r="AB18" s="26">
        <f t="shared" si="8"/>
        <v>0</v>
      </c>
      <c r="AC18" s="22" t="s">
        <v>43</v>
      </c>
      <c r="AD18" s="13" t="s">
        <v>83</v>
      </c>
      <c r="AE18" s="26">
        <f>IF(AND(AC18=$AC$20,AD18=$AD$20),3,IF(OR(AC18=$AC$20,AD18=$AD$20),1,0))</f>
        <v>0</v>
      </c>
      <c r="AF18" s="22" t="s">
        <v>41</v>
      </c>
      <c r="AG18" s="13" t="s">
        <v>84</v>
      </c>
      <c r="AH18" s="26">
        <f t="shared" si="10"/>
        <v>0</v>
      </c>
      <c r="AI18" s="22" t="s">
        <v>34</v>
      </c>
      <c r="AJ18" s="13" t="s">
        <v>91</v>
      </c>
      <c r="AK18" s="26">
        <f t="shared" si="11"/>
        <v>0</v>
      </c>
      <c r="AL18" s="22" t="s">
        <v>42</v>
      </c>
      <c r="AM18" s="13" t="s">
        <v>94</v>
      </c>
      <c r="AN18" s="26">
        <f t="shared" si="12"/>
        <v>0</v>
      </c>
      <c r="AO18" s="22" t="s">
        <v>32</v>
      </c>
      <c r="AP18" s="13" t="s">
        <v>98</v>
      </c>
      <c r="AQ18" s="26">
        <f t="shared" si="13"/>
        <v>0</v>
      </c>
      <c r="AR18" s="22" t="s">
        <v>33</v>
      </c>
      <c r="AS18" s="13" t="s">
        <v>102</v>
      </c>
      <c r="AT18" s="26">
        <f t="shared" si="14"/>
        <v>0</v>
      </c>
      <c r="AU18" s="22" t="s">
        <v>40</v>
      </c>
      <c r="AV18" s="20" t="s">
        <v>104</v>
      </c>
      <c r="AW18" s="30">
        <f t="shared" si="15"/>
        <v>0</v>
      </c>
      <c r="AX18" s="31">
        <v>37</v>
      </c>
      <c r="AY18" s="28">
        <f t="shared" si="16"/>
        <v>41</v>
      </c>
      <c r="AZ18" s="29" t="str">
        <f t="shared" si="17"/>
        <v>Pia Machado</v>
      </c>
    </row>
    <row r="19" spans="1:52" x14ac:dyDescent="0.25">
      <c r="H19" s="6"/>
      <c r="I19" s="6"/>
    </row>
    <row r="20" spans="1:52" x14ac:dyDescent="0.25">
      <c r="A20" t="s">
        <v>39</v>
      </c>
      <c r="B20" s="6" t="s">
        <v>24</v>
      </c>
      <c r="C20" s="6" t="s">
        <v>25</v>
      </c>
      <c r="E20" s="7" t="s">
        <v>23</v>
      </c>
      <c r="F20" s="6" t="s">
        <v>35</v>
      </c>
      <c r="H20" s="7" t="s">
        <v>40</v>
      </c>
      <c r="I20" s="6" t="s">
        <v>47</v>
      </c>
      <c r="K20" s="7" t="s">
        <v>40</v>
      </c>
      <c r="L20" s="6" t="s">
        <v>62</v>
      </c>
      <c r="N20" s="7" t="s">
        <v>21</v>
      </c>
      <c r="O20" s="6" t="s">
        <v>65</v>
      </c>
      <c r="Q20" s="21" t="s">
        <v>41</v>
      </c>
      <c r="R20" s="6" t="s">
        <v>69</v>
      </c>
      <c r="T20" s="23" t="s">
        <v>33</v>
      </c>
      <c r="U20" s="6" t="s">
        <v>71</v>
      </c>
    </row>
  </sheetData>
  <conditionalFormatting sqref="B2:B18">
    <cfRule type="cellIs" dxfId="13" priority="14" operator="equal">
      <formula>$B$20</formula>
    </cfRule>
  </conditionalFormatting>
  <conditionalFormatting sqref="C2:C18">
    <cfRule type="cellIs" dxfId="12" priority="13" operator="equal">
      <formula>$C$20</formula>
    </cfRule>
  </conditionalFormatting>
  <conditionalFormatting sqref="E2:E18">
    <cfRule type="cellIs" dxfId="11" priority="12" operator="equal">
      <formula>$E$20</formula>
    </cfRule>
  </conditionalFormatting>
  <conditionalFormatting sqref="F2:F18">
    <cfRule type="cellIs" dxfId="10" priority="11" operator="equal">
      <formula>$F$20</formula>
    </cfRule>
  </conditionalFormatting>
  <conditionalFormatting sqref="H2:H18">
    <cfRule type="cellIs" dxfId="9" priority="10" operator="equal">
      <formula>$H$20</formula>
    </cfRule>
  </conditionalFormatting>
  <conditionalFormatting sqref="I2:I18">
    <cfRule type="cellIs" dxfId="8" priority="9" operator="equal">
      <formula>$I$20</formula>
    </cfRule>
  </conditionalFormatting>
  <conditionalFormatting sqref="K2:K17">
    <cfRule type="cellIs" dxfId="7" priority="8" operator="equal">
      <formula>$K$20</formula>
    </cfRule>
  </conditionalFormatting>
  <conditionalFormatting sqref="L2:L18">
    <cfRule type="cellIs" dxfId="6" priority="7" operator="equal">
      <formula>$L$20</formula>
    </cfRule>
  </conditionalFormatting>
  <conditionalFormatting sqref="N2:N18">
    <cfRule type="cellIs" dxfId="5" priority="6" operator="equal">
      <formula>$N$20</formula>
    </cfRule>
  </conditionalFormatting>
  <conditionalFormatting sqref="O2:O18">
    <cfRule type="cellIs" dxfId="4" priority="5" operator="equal">
      <formula>$O$20</formula>
    </cfRule>
  </conditionalFormatting>
  <conditionalFormatting sqref="Q2:Q18">
    <cfRule type="cellIs" dxfId="3" priority="4" operator="equal">
      <formula>$Q$20</formula>
    </cfRule>
  </conditionalFormatting>
  <conditionalFormatting sqref="R2:R18">
    <cfRule type="cellIs" dxfId="2" priority="3" operator="equal">
      <formula>$R$20</formula>
    </cfRule>
  </conditionalFormatting>
  <conditionalFormatting sqref="T2:T18">
    <cfRule type="cellIs" dxfId="1" priority="2" operator="equal">
      <formula>$T$20</formula>
    </cfRule>
  </conditionalFormatting>
  <conditionalFormatting sqref="U2:U18">
    <cfRule type="cellIs" dxfId="0" priority="1" operator="equal">
      <formula>$U$20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User710</dc:creator>
  <cp:lastModifiedBy>Ciro Lopez</cp:lastModifiedBy>
  <dcterms:created xsi:type="dcterms:W3CDTF">2015-06-05T18:19:34Z</dcterms:created>
  <dcterms:modified xsi:type="dcterms:W3CDTF">2026-07-01T15:00:40Z</dcterms:modified>
</cp:coreProperties>
</file>