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710\Documents\Proyectos\Tabla-mundial-main\Tabla-mundial-4°1°\"/>
    </mc:Choice>
  </mc:AlternateContent>
  <xr:revisionPtr revIDLastSave="0" documentId="13_ncr:1_{C745EFE0-3CF9-45CB-8A16-9A355D6BD4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puestas de formulario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X12" i="1" l="1" a="1"/>
  <c r="BX12" i="1" s="1"/>
  <c r="BX2" i="1" a="1"/>
  <c r="BX2" i="1" s="1"/>
  <c r="BX3" i="1" a="1"/>
  <c r="BX3" i="1" s="1"/>
  <c r="BX4" i="1" a="1"/>
  <c r="BX4" i="1" s="1"/>
  <c r="BX5" i="1" a="1"/>
  <c r="BX5" i="1" s="1"/>
  <c r="BX6" i="1" a="1"/>
  <c r="BX6" i="1" s="1"/>
  <c r="BX7" i="1" a="1"/>
  <c r="BX7" i="1" s="1"/>
  <c r="BX8" i="1" a="1"/>
  <c r="BX8" i="1" s="1"/>
  <c r="BX9" i="1" a="1"/>
  <c r="BX9" i="1" s="1"/>
  <c r="BX10" i="1" a="1"/>
  <c r="BX10" i="1" s="1"/>
  <c r="BX11" i="1" a="1"/>
  <c r="BX11" i="1" s="1"/>
  <c r="BX13" i="1" a="1"/>
  <c r="BX13" i="1" s="1"/>
  <c r="BX14" i="1" a="1"/>
  <c r="BX14" i="1" s="1"/>
  <c r="BX15" i="1" a="1"/>
  <c r="BX15" i="1" s="1"/>
  <c r="BX16" i="1" a="1"/>
  <c r="BX16" i="1" s="1"/>
  <c r="BX17" i="1" a="1"/>
  <c r="BX17" i="1" s="1"/>
  <c r="BX18" i="1" a="1"/>
  <c r="BX18" i="1" s="1"/>
  <c r="BX19" i="1" a="1"/>
  <c r="BX19" i="1" s="1"/>
  <c r="BY2" i="1"/>
  <c r="BY3" i="1"/>
  <c r="BY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<sst xmlns="http://schemas.openxmlformats.org/spreadsheetml/2006/main" count="1452" uniqueCount="165">
  <si>
    <t>Marca temporal</t>
  </si>
  <si>
    <t>Dirección de correo electrónico</t>
  </si>
  <si>
    <t>Aquí ponga su nombre y apellido</t>
  </si>
  <si>
    <t>Fecha 1:
México-Sudáfrica</t>
  </si>
  <si>
    <t>Corea del Sur - República Checa</t>
  </si>
  <si>
    <t>Fecha 2:
República Checa - Sudáfrica</t>
  </si>
  <si>
    <t>México - Corea del Sur</t>
  </si>
  <si>
    <t>Fecha 3:
Sudáfrica - Corea del Sur</t>
  </si>
  <si>
    <t>República Checa - Mexico</t>
  </si>
  <si>
    <t>Fecha 1:
Canadá - Bosnia y Herzegovina</t>
  </si>
  <si>
    <t>Qatar - Suiza</t>
  </si>
  <si>
    <t>Fecha 2:
Suiza - Bosnia y Herzegovina</t>
  </si>
  <si>
    <t>Canadá - Qatar</t>
  </si>
  <si>
    <t>Fecha 3:
Suiza - Canadá</t>
  </si>
  <si>
    <t>Bosnia y Herzegovina - Qatar</t>
  </si>
  <si>
    <t>Fecha 1:
Brasil - Marruecos</t>
  </si>
  <si>
    <t>Haití - Escocia</t>
  </si>
  <si>
    <t>Fecha 2:
Escocia - Marruecos</t>
  </si>
  <si>
    <t>Brasil - Haití</t>
  </si>
  <si>
    <t>Fecha 3:
Escocia - Brasil</t>
  </si>
  <si>
    <t>Marruecos - Haití</t>
  </si>
  <si>
    <t>Fecha 1:
Estados Unidos - Paraguay</t>
  </si>
  <si>
    <t>Australia - Turquía</t>
  </si>
  <si>
    <t>Fecha 2:
Estados Unidos - Australia</t>
  </si>
  <si>
    <t>Turquía - Paraguay</t>
  </si>
  <si>
    <t>Fecha 3:
Turquía - Estados Unidos</t>
  </si>
  <si>
    <t>Paraguay - Australia</t>
  </si>
  <si>
    <t>Fecha 1:
Alemania - Curazao</t>
  </si>
  <si>
    <t>Costa de Marfil - Ecuador</t>
  </si>
  <si>
    <t>Fecha 2:
Alemania - Costa de Marfil</t>
  </si>
  <si>
    <t>Ecuador - Curazao</t>
  </si>
  <si>
    <t>Fecha 3:
Curazao - Costa de Marfil</t>
  </si>
  <si>
    <t>Ecuador  - Alemania</t>
  </si>
  <si>
    <t>Fecha 1:
Países Bajos - Japón</t>
  </si>
  <si>
    <t>Suecia - Túnez</t>
  </si>
  <si>
    <t>Fecha 2:
Países Bajos - Suecia</t>
  </si>
  <si>
    <t>Túnez - Japón</t>
  </si>
  <si>
    <t>Fecha 3:
Japón - Suecia</t>
  </si>
  <si>
    <t>Túnez - Países Bajos</t>
  </si>
  <si>
    <t>Fecha 1:
Bélgica - Egipto</t>
  </si>
  <si>
    <t>Irán - Nueva Zelanda</t>
  </si>
  <si>
    <t>Fecha 2:
Bélgica - Irán</t>
  </si>
  <si>
    <t>Nueva Zelanda - Egipto</t>
  </si>
  <si>
    <t>Fecha 3:
Egipto - Irán</t>
  </si>
  <si>
    <t>Nueva Zelanda - Bélgica</t>
  </si>
  <si>
    <t>Fecha 1:
España - Cabo Verde</t>
  </si>
  <si>
    <t>Arabia Saudita - Uruguay</t>
  </si>
  <si>
    <t>Fecha 2:
España - Arabia Saudita</t>
  </si>
  <si>
    <t>Uruguay - Cabo Verde</t>
  </si>
  <si>
    <t>Fecha 3:
Cabo Verde - Arabia Saudita</t>
  </si>
  <si>
    <t>Uruguay - España</t>
  </si>
  <si>
    <t>Fecha 1:
Francia - Senegal</t>
  </si>
  <si>
    <t>Irak - Noruega</t>
  </si>
  <si>
    <t>Fecha 2:
Francia - Irak</t>
  </si>
  <si>
    <t>Noruega - Senegal</t>
  </si>
  <si>
    <t>Fecha 3:
Noruega - Francia</t>
  </si>
  <si>
    <t>Senegal - Irak</t>
  </si>
  <si>
    <t>Fecha 1:
Argentina - Argelia</t>
  </si>
  <si>
    <t>Austria - Jordania</t>
  </si>
  <si>
    <t>Fecha 2:
Argentina - Austria</t>
  </si>
  <si>
    <t>Jordania - Argelia</t>
  </si>
  <si>
    <t>Fecha 3:
Argelia - Austria</t>
  </si>
  <si>
    <t>Jordania - Argentina</t>
  </si>
  <si>
    <t>Fecha 1:
Portugal - RD Congo</t>
  </si>
  <si>
    <t>Uzbekistán - Colombia</t>
  </si>
  <si>
    <t>Fecha 2:
Portugal - Uzbekistán</t>
  </si>
  <si>
    <t>Colombia - RD Congo</t>
  </si>
  <si>
    <t>Fecha 3:
Colombia - Portugal</t>
  </si>
  <si>
    <t>RD Congo - Uzbekistán</t>
  </si>
  <si>
    <t>Fecha 1:
Inglaterra - Croacia</t>
  </si>
  <si>
    <t>Ghana - Panamá</t>
  </si>
  <si>
    <t>Fecha 2:
Inglaterra - Ghana</t>
  </si>
  <si>
    <t>Panamá - Croacia</t>
  </si>
  <si>
    <t>Fecha 3:
Panamá - Inglaterra</t>
  </si>
  <si>
    <t>Croacia - Ghana</t>
  </si>
  <si>
    <t>lucianofgrela@gmail.com</t>
  </si>
  <si>
    <t>Sudáfrica</t>
  </si>
  <si>
    <t>Corea del Sur</t>
  </si>
  <si>
    <t>República Checa</t>
  </si>
  <si>
    <t>Canadá</t>
  </si>
  <si>
    <t>Suiza</t>
  </si>
  <si>
    <t>Empate</t>
  </si>
  <si>
    <t>Brasil</t>
  </si>
  <si>
    <t>Marruecos</t>
  </si>
  <si>
    <t>Paraguay</t>
  </si>
  <si>
    <t>Australia</t>
  </si>
  <si>
    <t>Turquía</t>
  </si>
  <si>
    <t>Ecuador</t>
  </si>
  <si>
    <t>Alemania</t>
  </si>
  <si>
    <t>Costa de Marfil</t>
  </si>
  <si>
    <t>Suecia</t>
  </si>
  <si>
    <t>Países Bajos</t>
  </si>
  <si>
    <t>Japón</t>
  </si>
  <si>
    <t>Bélgica</t>
  </si>
  <si>
    <t>Egipto</t>
  </si>
  <si>
    <t>España</t>
  </si>
  <si>
    <t>Uruguay</t>
  </si>
  <si>
    <t>Arabia Saudita</t>
  </si>
  <si>
    <t>Francia</t>
  </si>
  <si>
    <t>Noruega</t>
  </si>
  <si>
    <t>Senegal</t>
  </si>
  <si>
    <t>Argentina</t>
  </si>
  <si>
    <t>Jordania</t>
  </si>
  <si>
    <t>Austria</t>
  </si>
  <si>
    <t>Portugal</t>
  </si>
  <si>
    <t>Colombia</t>
  </si>
  <si>
    <t>RD Congo</t>
  </si>
  <si>
    <t>Inglaterra</t>
  </si>
  <si>
    <t>Ghana</t>
  </si>
  <si>
    <t>Croacia</t>
  </si>
  <si>
    <t>thiagomanu.puga@gmail.com</t>
  </si>
  <si>
    <t>Thiago Puga</t>
  </si>
  <si>
    <t>México</t>
  </si>
  <si>
    <t>Mexico</t>
  </si>
  <si>
    <t>Bosnia y Herzegovina</t>
  </si>
  <si>
    <t>Escocia</t>
  </si>
  <si>
    <t>Estados Unidos</t>
  </si>
  <si>
    <t>Japon</t>
  </si>
  <si>
    <t>Nueva Zelanda</t>
  </si>
  <si>
    <t>Argelia</t>
  </si>
  <si>
    <t>Uzbekistán</t>
  </si>
  <si>
    <t>facugasparini@gmail.com</t>
  </si>
  <si>
    <t>Facundo Gasparini</t>
  </si>
  <si>
    <t>campothiago50@gmail.com</t>
  </si>
  <si>
    <t>Thiago Campobello</t>
  </si>
  <si>
    <t>Panamá</t>
  </si>
  <si>
    <t>mateofmora@gmail.com</t>
  </si>
  <si>
    <t>Mateo Mora</t>
  </si>
  <si>
    <t>Irán</t>
  </si>
  <si>
    <t>fedefischer16@gmail.com</t>
  </si>
  <si>
    <t xml:space="preserve">Federico Fischer </t>
  </si>
  <si>
    <t>Qatar</t>
  </si>
  <si>
    <t>Irak</t>
  </si>
  <si>
    <t>lucassantinomarin9@gmail.com</t>
  </si>
  <si>
    <t>Lucas Marin</t>
  </si>
  <si>
    <t>ignaciosaavedraet35@gmail.com</t>
  </si>
  <si>
    <t>Ignacio Saavedra</t>
  </si>
  <si>
    <t>barreguicarlini@gmail.com</t>
  </si>
  <si>
    <t xml:space="preserve">Benjamin Arregui </t>
  </si>
  <si>
    <t>cirobenjaminlopez2009@gmail.com</t>
  </si>
  <si>
    <t>Ciro Lopez</t>
  </si>
  <si>
    <t>marioalvarezpay1@gmail.com</t>
  </si>
  <si>
    <t xml:space="preserve">Paul Alvarez </t>
  </si>
  <si>
    <t>Cabo Verde</t>
  </si>
  <si>
    <t>piamachado892@gmail.com</t>
  </si>
  <si>
    <t>Pia Machado</t>
  </si>
  <si>
    <t>Curazao</t>
  </si>
  <si>
    <t>yagosayas09@gmail.com</t>
  </si>
  <si>
    <t>valentinorussosuarez@gmail.com</t>
  </si>
  <si>
    <t>Túnez</t>
  </si>
  <si>
    <t>manuproser2010@gmail.com</t>
  </si>
  <si>
    <t>Manuel Proserpio</t>
  </si>
  <si>
    <t>ianfind38@gmail.com</t>
  </si>
  <si>
    <t>daniloyxr33@gmail.com</t>
  </si>
  <si>
    <t>Haití</t>
  </si>
  <si>
    <t>agustin.dulcet@gmail.com</t>
  </si>
  <si>
    <t>Agustin Dulcet</t>
  </si>
  <si>
    <t>Puntos</t>
  </si>
  <si>
    <t>Persona</t>
  </si>
  <si>
    <t>Luciano Grela</t>
  </si>
  <si>
    <t>Respuestas</t>
  </si>
  <si>
    <t>Yago Sayas</t>
  </si>
  <si>
    <t>Ian Findlay</t>
  </si>
  <si>
    <t xml:space="preserve">Valentino Russo Suarez </t>
  </si>
  <si>
    <t xml:space="preserve">Danilo Giacobini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</si>
</sst>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5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129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numFmt numFmtId="0" formatCode="General"/>
    </dxf>
    <dxf>
      <font>
        <strike val="0"/>
        <outline val="0"/>
        <shadow val="0"/>
        <u val="none"/>
        <vertAlign val="baseline"/>
        <sz val="15"/>
        <color rgb="FF000000"/>
        <name val="Arial"/>
        <scheme val="minor"/>
      </font>
      <numFmt numFmtId="0" formatCode="General"/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uestas de formulario 1-style" pivot="0" count="4" xr9:uid="{00000000-0011-0000-FFFF-FFFF00000000}">
      <tableStyleElement type="wholeTable" size="0" dxfId="128"/>
      <tableStyleElement type="headerRow" dxfId="127"/>
      <tableStyleElement type="firstRowStripe" dxfId="126"/>
      <tableStyleElement type="secondRowStripe" dxfId="12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Y19">
  <tableColumns count="77">
    <tableColumn id="1" xr3:uid="{00000000-0010-0000-0000-000001000000}" name="Marca temporal"/>
    <tableColumn id="2" xr3:uid="{00000000-0010-0000-0000-000002000000}" name="Dirección de correo electrónico"/>
    <tableColumn id="3" xr3:uid="{00000000-0010-0000-0000-000003000000}" name="Aquí ponga su nombre y apellido"/>
    <tableColumn id="4" xr3:uid="{00000000-0010-0000-0000-000004000000}" name="Fecha 1:_x000a_México-Sudáfrica"/>
    <tableColumn id="5" xr3:uid="{00000000-0010-0000-0000-000005000000}" name="Corea del Sur - República Checa"/>
    <tableColumn id="6" xr3:uid="{00000000-0010-0000-0000-000006000000}" name="Fecha 2:_x000a_República Checa - Sudáfrica"/>
    <tableColumn id="7" xr3:uid="{00000000-0010-0000-0000-000007000000}" name="México - Corea del Sur"/>
    <tableColumn id="8" xr3:uid="{00000000-0010-0000-0000-000008000000}" name="Fecha 3:_x000a_Sudáfrica - Corea del Sur"/>
    <tableColumn id="9" xr3:uid="{00000000-0010-0000-0000-000009000000}" name="República Checa - Mexico"/>
    <tableColumn id="10" xr3:uid="{00000000-0010-0000-0000-00000A000000}" name="Fecha 1:_x000a_Canadá - Bosnia y Herzegovina"/>
    <tableColumn id="11" xr3:uid="{00000000-0010-0000-0000-00000B000000}" name="Qatar - Suiza"/>
    <tableColumn id="12" xr3:uid="{00000000-0010-0000-0000-00000C000000}" name="Fecha 2:_x000a_Suiza - Bosnia y Herzegovina"/>
    <tableColumn id="13" xr3:uid="{00000000-0010-0000-0000-00000D000000}" name="Canadá - Qatar"/>
    <tableColumn id="14" xr3:uid="{00000000-0010-0000-0000-00000E000000}" name="Fecha 3:_x000a_Suiza - Canadá"/>
    <tableColumn id="15" xr3:uid="{00000000-0010-0000-0000-00000F000000}" name="Bosnia y Herzegovina - Qatar"/>
    <tableColumn id="16" xr3:uid="{00000000-0010-0000-0000-000010000000}" name="Fecha 1:_x000a_Brasil - Marruecos"/>
    <tableColumn id="17" xr3:uid="{00000000-0010-0000-0000-000011000000}" name="Haití - Escocia"/>
    <tableColumn id="18" xr3:uid="{00000000-0010-0000-0000-000012000000}" name="Fecha 2:_x000a_Escocia - Marruecos"/>
    <tableColumn id="19" xr3:uid="{00000000-0010-0000-0000-000013000000}" name="Brasil - Haití"/>
    <tableColumn id="20" xr3:uid="{00000000-0010-0000-0000-000014000000}" name="Fecha 3:_x000a_Escocia - Brasil"/>
    <tableColumn id="21" xr3:uid="{00000000-0010-0000-0000-000015000000}" name="Marruecos - Haití"/>
    <tableColumn id="22" xr3:uid="{00000000-0010-0000-0000-000016000000}" name="Fecha 1:_x000a_Estados Unidos - Paraguay"/>
    <tableColumn id="23" xr3:uid="{00000000-0010-0000-0000-000017000000}" name="Australia - Turquía"/>
    <tableColumn id="24" xr3:uid="{00000000-0010-0000-0000-000018000000}" name="Fecha 2:_x000a_Estados Unidos - Australia"/>
    <tableColumn id="25" xr3:uid="{00000000-0010-0000-0000-000019000000}" name="Turquía - Paraguay"/>
    <tableColumn id="26" xr3:uid="{00000000-0010-0000-0000-00001A000000}" name="Fecha 3:_x000a_Turquía - Estados Unidos"/>
    <tableColumn id="27" xr3:uid="{00000000-0010-0000-0000-00001B000000}" name="Paraguay - Australia"/>
    <tableColumn id="28" xr3:uid="{00000000-0010-0000-0000-00001C000000}" name="Fecha 1:_x000a_Alemania - Curazao"/>
    <tableColumn id="29" xr3:uid="{00000000-0010-0000-0000-00001D000000}" name="Costa de Marfil - Ecuador"/>
    <tableColumn id="30" xr3:uid="{00000000-0010-0000-0000-00001E000000}" name="Fecha 2:_x000a_Alemania - Costa de Marfil"/>
    <tableColumn id="31" xr3:uid="{00000000-0010-0000-0000-00001F000000}" name="Ecuador - Curazao"/>
    <tableColumn id="32" xr3:uid="{00000000-0010-0000-0000-000020000000}" name="Fecha 3:_x000a_Curazao - Costa de Marfil"/>
    <tableColumn id="33" xr3:uid="{00000000-0010-0000-0000-000021000000}" name="Ecuador  - Alemania"/>
    <tableColumn id="34" xr3:uid="{00000000-0010-0000-0000-000022000000}" name="Fecha 1:_x000a_Países Bajos - Japón"/>
    <tableColumn id="35" xr3:uid="{00000000-0010-0000-0000-000023000000}" name="Suecia - Túnez"/>
    <tableColumn id="36" xr3:uid="{00000000-0010-0000-0000-000024000000}" name="Fecha 2:_x000a_Países Bajos - Suecia"/>
    <tableColumn id="37" xr3:uid="{00000000-0010-0000-0000-000025000000}" name="Túnez - Japón"/>
    <tableColumn id="38" xr3:uid="{00000000-0010-0000-0000-000026000000}" name="Fecha 3:_x000a_Japón - Suecia"/>
    <tableColumn id="39" xr3:uid="{00000000-0010-0000-0000-000027000000}" name="Túnez - Países Bajos"/>
    <tableColumn id="40" xr3:uid="{00000000-0010-0000-0000-000028000000}" name="Fecha 1:_x000a_Bélgica - Egipto"/>
    <tableColumn id="41" xr3:uid="{00000000-0010-0000-0000-000029000000}" name="Irán - Nueva Zelanda"/>
    <tableColumn id="42" xr3:uid="{00000000-0010-0000-0000-00002A000000}" name="Fecha 2:_x000a_Bélgica - Irán"/>
    <tableColumn id="43" xr3:uid="{00000000-0010-0000-0000-00002B000000}" name="Nueva Zelanda - Egipto"/>
    <tableColumn id="44" xr3:uid="{00000000-0010-0000-0000-00002C000000}" name="Fecha 3:_x000a_Egipto - Irán"/>
    <tableColumn id="45" xr3:uid="{00000000-0010-0000-0000-00002D000000}" name="Nueva Zelanda - Bélgica"/>
    <tableColumn id="46" xr3:uid="{00000000-0010-0000-0000-00002E000000}" name="Fecha 1:_x000a_España - Cabo Verde"/>
    <tableColumn id="47" xr3:uid="{00000000-0010-0000-0000-00002F000000}" name="Arabia Saudita - Uruguay"/>
    <tableColumn id="48" xr3:uid="{00000000-0010-0000-0000-000030000000}" name="Fecha 2:_x000a_España - Arabia Saudita"/>
    <tableColumn id="49" xr3:uid="{00000000-0010-0000-0000-000031000000}" name="Uruguay - Cabo Verde"/>
    <tableColumn id="50" xr3:uid="{00000000-0010-0000-0000-000032000000}" name="Fecha 3:_x000a_Cabo Verde - Arabia Saudita"/>
    <tableColumn id="51" xr3:uid="{00000000-0010-0000-0000-000033000000}" name="Uruguay - España"/>
    <tableColumn id="52" xr3:uid="{00000000-0010-0000-0000-000034000000}" name="Fecha 1:_x000a_Francia - Senegal"/>
    <tableColumn id="53" xr3:uid="{00000000-0010-0000-0000-000035000000}" name="Irak - Noruega"/>
    <tableColumn id="54" xr3:uid="{00000000-0010-0000-0000-000036000000}" name="Fecha 2:_x000a_Francia - Irak"/>
    <tableColumn id="55" xr3:uid="{00000000-0010-0000-0000-000037000000}" name="Noruega - Senegal"/>
    <tableColumn id="56" xr3:uid="{00000000-0010-0000-0000-000038000000}" name="Fecha 3:_x000a_Noruega - Francia"/>
    <tableColumn id="57" xr3:uid="{00000000-0010-0000-0000-000039000000}" name="Senegal - Irak"/>
    <tableColumn id="58" xr3:uid="{00000000-0010-0000-0000-00003A000000}" name="Fecha 1:_x000a_Argentina - Argelia"/>
    <tableColumn id="59" xr3:uid="{00000000-0010-0000-0000-00003B000000}" name="Austria - Jordania"/>
    <tableColumn id="60" xr3:uid="{00000000-0010-0000-0000-00003C000000}" name="Fecha 2:_x000a_Argentina - Austria"/>
    <tableColumn id="61" xr3:uid="{00000000-0010-0000-0000-00003D000000}" name="Jordania - Argelia"/>
    <tableColumn id="62" xr3:uid="{00000000-0010-0000-0000-00003E000000}" name="Fecha 3:_x000a_Argelia - Austria"/>
    <tableColumn id="63" xr3:uid="{00000000-0010-0000-0000-00003F000000}" name="Jordania - Argentina"/>
    <tableColumn id="64" xr3:uid="{00000000-0010-0000-0000-000040000000}" name="Fecha 1:_x000a_Portugal - RD Congo"/>
    <tableColumn id="65" xr3:uid="{00000000-0010-0000-0000-000041000000}" name="Uzbekistán - Colombia"/>
    <tableColumn id="66" xr3:uid="{00000000-0010-0000-0000-000042000000}" name="Fecha 2:_x000a_Portugal - Uzbekistán"/>
    <tableColumn id="67" xr3:uid="{00000000-0010-0000-0000-000043000000}" name="Colombia - RD Congo"/>
    <tableColumn id="68" xr3:uid="{00000000-0010-0000-0000-000044000000}" name="Fecha 3:_x000a_Colombia - Portugal"/>
    <tableColumn id="69" xr3:uid="{00000000-0010-0000-0000-000045000000}" name="RD Congo - Uzbekistán"/>
    <tableColumn id="70" xr3:uid="{00000000-0010-0000-0000-000046000000}" name="Fecha 1:_x000a_Inglaterra - Croacia"/>
    <tableColumn id="71" xr3:uid="{00000000-0010-0000-0000-000047000000}" name="Ghana - Panamá"/>
    <tableColumn id="72" xr3:uid="{00000000-0010-0000-0000-000048000000}" name="Fecha 2:_x000a_Inglaterra - Ghana"/>
    <tableColumn id="73" xr3:uid="{00000000-0010-0000-0000-000049000000}" name="Panamá - Croacia"/>
    <tableColumn id="74" xr3:uid="{00000000-0010-0000-0000-00004A000000}" name="Fecha 3:_x000a_Panamá - Inglaterra"/>
    <tableColumn id="75" xr3:uid="{00000000-0010-0000-0000-00004B000000}" name="Croacia - Ghana"/>
    <tableColumn id="76" xr3:uid="{89B2BE50-115C-4295-A68A-37F41D4EE71B}" name="Puntos" dataDxfId="124">
      <calculatedColumnFormula array="1">SUMPRODUCT((D2:BW2=D$21:BW$21)*(D$21:BW$21&lt;&gt;""))</calculatedColumnFormula>
    </tableColumn>
    <tableColumn id="77" xr3:uid="{E179120D-2182-421C-84B3-911C858078AE}" name="Persona" dataDxfId="123">
      <calculatedColumnFormula>Form_Responses[[#This Row],[Aquí ponga su nombre y apellido]]</calculatedColumnFormula>
    </tableColumn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Y21"/>
  <sheetViews>
    <sheetView tabSelected="1" topLeftCell="BM1" workbookViewId="0">
      <pane ySplit="1" topLeftCell="A2" activePane="bottomLeft" state="frozen"/>
      <selection pane="bottomLeft" activeCell="BY15" sqref="BY15"/>
    </sheetView>
  </sheetViews>
  <sheetFormatPr baseColWidth="10" defaultColWidth="12.5703125" defaultRowHeight="15.75" customHeight="1" x14ac:dyDescent="0.2"/>
  <cols>
    <col min="1" max="1" width="18.85546875" customWidth="1"/>
    <col min="2" max="2" width="27.85546875" customWidth="1"/>
    <col min="3" max="3" width="29" customWidth="1"/>
    <col min="4" max="4" width="18.85546875" customWidth="1"/>
    <col min="5" max="5" width="28.42578125" customWidth="1"/>
    <col min="6" max="6" width="25.5703125" customWidth="1"/>
    <col min="7" max="7" width="21.5703125" customWidth="1"/>
    <col min="8" max="8" width="23.28515625" customWidth="1"/>
    <col min="9" max="9" width="24" customWidth="1"/>
    <col min="10" max="10" width="27.7109375" customWidth="1"/>
    <col min="11" max="11" width="18.85546875" customWidth="1"/>
    <col min="12" max="12" width="26.140625" customWidth="1"/>
    <col min="13" max="14" width="18.85546875" customWidth="1"/>
    <col min="15" max="15" width="26.28515625" customWidth="1"/>
    <col min="16" max="17" width="18.85546875" customWidth="1"/>
    <col min="18" max="18" width="20.140625" customWidth="1"/>
    <col min="19" max="21" width="18.85546875" customWidth="1"/>
    <col min="22" max="22" width="24.7109375" customWidth="1"/>
    <col min="23" max="23" width="18.85546875" customWidth="1"/>
    <col min="24" max="24" width="24.42578125" customWidth="1"/>
    <col min="25" max="25" width="18.85546875" customWidth="1"/>
    <col min="26" max="26" width="23.42578125" customWidth="1"/>
    <col min="27" max="27" width="19.85546875" customWidth="1"/>
    <col min="28" max="28" width="19.42578125" customWidth="1"/>
    <col min="29" max="29" width="23.5703125" customWidth="1"/>
    <col min="30" max="30" width="24.42578125" customWidth="1"/>
    <col min="31" max="31" width="18.85546875" customWidth="1"/>
    <col min="32" max="32" width="23.7109375" customWidth="1"/>
    <col min="33" max="33" width="19.85546875" customWidth="1"/>
    <col min="34" max="34" width="20.42578125" customWidth="1"/>
    <col min="35" max="35" width="18.85546875" customWidth="1"/>
    <col min="36" max="36" width="20.85546875" customWidth="1"/>
    <col min="37" max="38" width="18.85546875" customWidth="1"/>
    <col min="39" max="39" width="20.42578125" customWidth="1"/>
    <col min="40" max="40" width="18.85546875" customWidth="1"/>
    <col min="41" max="41" width="20.28515625" customWidth="1"/>
    <col min="42" max="42" width="18.85546875" customWidth="1"/>
    <col min="43" max="43" width="22" customWidth="1"/>
    <col min="44" max="44" width="18.85546875" customWidth="1"/>
    <col min="45" max="45" width="22.7109375" customWidth="1"/>
    <col min="46" max="46" width="20.42578125" customWidth="1"/>
    <col min="47" max="47" width="23.140625" customWidth="1"/>
    <col min="48" max="48" width="22.42578125" customWidth="1"/>
    <col min="49" max="49" width="21" customWidth="1"/>
    <col min="50" max="50" width="25.5703125" customWidth="1"/>
    <col min="51" max="62" width="18.85546875" customWidth="1"/>
    <col min="63" max="64" width="20" customWidth="1"/>
    <col min="65" max="65" width="21.5703125" customWidth="1"/>
    <col min="66" max="66" width="20.85546875" customWidth="1"/>
    <col min="67" max="67" width="20.7109375" customWidth="1"/>
    <col min="68" max="68" width="19.7109375" customWidth="1"/>
    <col min="69" max="69" width="21.85546875" customWidth="1"/>
    <col min="70" max="70" width="19.140625" customWidth="1"/>
    <col min="71" max="73" width="18.85546875" customWidth="1"/>
    <col min="74" max="74" width="19.42578125" customWidth="1"/>
    <col min="75" max="76" width="18.85546875" customWidth="1"/>
    <col min="77" max="77" width="21.28515625" bestFit="1" customWidth="1"/>
    <col min="78" max="81" width="18.85546875" customWidth="1"/>
  </cols>
  <sheetData>
    <row r="1" spans="1:77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4" t="s">
        <v>157</v>
      </c>
      <c r="BY1" t="s">
        <v>158</v>
      </c>
    </row>
    <row r="2" spans="1:77" ht="22.5" customHeight="1" x14ac:dyDescent="0.25">
      <c r="A2" s="2">
        <v>46181.953745636572</v>
      </c>
      <c r="B2" s="3" t="s">
        <v>75</v>
      </c>
      <c r="C2" s="3" t="s">
        <v>159</v>
      </c>
      <c r="D2" s="3" t="s">
        <v>76</v>
      </c>
      <c r="E2" s="3" t="s">
        <v>77</v>
      </c>
      <c r="F2" s="7" t="s">
        <v>76</v>
      </c>
      <c r="G2" s="3" t="s">
        <v>77</v>
      </c>
      <c r="H2" s="3" t="s">
        <v>77</v>
      </c>
      <c r="I2" s="3" t="s">
        <v>78</v>
      </c>
      <c r="J2" s="3" t="s">
        <v>79</v>
      </c>
      <c r="K2" s="3" t="s">
        <v>80</v>
      </c>
      <c r="L2" s="3" t="s">
        <v>80</v>
      </c>
      <c r="M2" s="3" t="s">
        <v>79</v>
      </c>
      <c r="N2" s="3" t="s">
        <v>79</v>
      </c>
      <c r="O2" s="3" t="s">
        <v>81</v>
      </c>
      <c r="P2" s="3" t="s">
        <v>82</v>
      </c>
      <c r="Q2" s="3" t="s">
        <v>81</v>
      </c>
      <c r="R2" s="3" t="s">
        <v>83</v>
      </c>
      <c r="S2" s="3" t="s">
        <v>82</v>
      </c>
      <c r="T2" s="3" t="s">
        <v>82</v>
      </c>
      <c r="U2" s="3" t="s">
        <v>83</v>
      </c>
      <c r="V2" s="3" t="s">
        <v>84</v>
      </c>
      <c r="W2" s="3" t="s">
        <v>85</v>
      </c>
      <c r="X2" s="3" t="s">
        <v>85</v>
      </c>
      <c r="Y2" s="3" t="s">
        <v>81</v>
      </c>
      <c r="Z2" s="3" t="s">
        <v>86</v>
      </c>
      <c r="AA2" s="3" t="s">
        <v>81</v>
      </c>
      <c r="AB2" s="3" t="s">
        <v>81</v>
      </c>
      <c r="AC2" s="3" t="s">
        <v>87</v>
      </c>
      <c r="AD2" s="3" t="s">
        <v>88</v>
      </c>
      <c r="AE2" s="3" t="s">
        <v>87</v>
      </c>
      <c r="AF2" s="3" t="s">
        <v>89</v>
      </c>
      <c r="AG2" s="3" t="s">
        <v>81</v>
      </c>
      <c r="AH2" s="3" t="s">
        <v>81</v>
      </c>
      <c r="AI2" s="3" t="s">
        <v>90</v>
      </c>
      <c r="AJ2" s="3" t="s">
        <v>91</v>
      </c>
      <c r="AK2" s="3" t="s">
        <v>92</v>
      </c>
      <c r="AL2" s="3" t="s">
        <v>92</v>
      </c>
      <c r="AM2" s="3" t="s">
        <v>91</v>
      </c>
      <c r="AN2" s="3" t="s">
        <v>93</v>
      </c>
      <c r="AO2" s="3" t="s">
        <v>81</v>
      </c>
      <c r="AP2" s="3" t="s">
        <v>93</v>
      </c>
      <c r="AQ2" s="3" t="s">
        <v>94</v>
      </c>
      <c r="AR2" s="3" t="s">
        <v>94</v>
      </c>
      <c r="AS2" s="3" t="s">
        <v>93</v>
      </c>
      <c r="AT2" s="3" t="s">
        <v>95</v>
      </c>
      <c r="AU2" s="3" t="s">
        <v>96</v>
      </c>
      <c r="AV2" s="3" t="s">
        <v>95</v>
      </c>
      <c r="AW2" s="3" t="s">
        <v>96</v>
      </c>
      <c r="AX2" s="3" t="s">
        <v>97</v>
      </c>
      <c r="AY2" s="3" t="s">
        <v>95</v>
      </c>
      <c r="AZ2" s="3" t="s">
        <v>98</v>
      </c>
      <c r="BA2" s="3" t="s">
        <v>99</v>
      </c>
      <c r="BB2" s="3" t="s">
        <v>98</v>
      </c>
      <c r="BC2" s="3" t="s">
        <v>100</v>
      </c>
      <c r="BD2" s="3" t="s">
        <v>81</v>
      </c>
      <c r="BE2" s="3" t="s">
        <v>100</v>
      </c>
      <c r="BF2" s="3" t="s">
        <v>101</v>
      </c>
      <c r="BG2" s="3" t="s">
        <v>102</v>
      </c>
      <c r="BH2" s="3" t="s">
        <v>81</v>
      </c>
      <c r="BI2" s="3" t="s">
        <v>102</v>
      </c>
      <c r="BJ2" s="3" t="s">
        <v>103</v>
      </c>
      <c r="BK2" s="3" t="s">
        <v>101</v>
      </c>
      <c r="BL2" s="3" t="s">
        <v>104</v>
      </c>
      <c r="BM2" s="3" t="s">
        <v>105</v>
      </c>
      <c r="BN2" s="3" t="s">
        <v>104</v>
      </c>
      <c r="BO2" s="3" t="s">
        <v>105</v>
      </c>
      <c r="BP2" s="3" t="s">
        <v>104</v>
      </c>
      <c r="BQ2" s="3" t="s">
        <v>106</v>
      </c>
      <c r="BR2" s="3" t="s">
        <v>107</v>
      </c>
      <c r="BS2" s="3" t="s">
        <v>108</v>
      </c>
      <c r="BT2" s="3" t="s">
        <v>107</v>
      </c>
      <c r="BU2" s="3" t="s">
        <v>109</v>
      </c>
      <c r="BV2" s="3" t="s">
        <v>107</v>
      </c>
      <c r="BW2" s="3" t="s">
        <v>109</v>
      </c>
      <c r="BX2" s="5" cm="1">
        <f t="array" ref="BX2">SUMPRODUCT((D2:BW2=D$21:BW$21)*(D$21:BW$21&lt;&gt;""))</f>
        <v>21</v>
      </c>
      <c r="BY2" t="str">
        <f>Form_Responses[[#This Row],[Aquí ponga su nombre y apellido]]</f>
        <v>Luciano Grela</v>
      </c>
    </row>
    <row r="3" spans="1:77" ht="22.5" customHeight="1" x14ac:dyDescent="0.25">
      <c r="A3" s="2">
        <v>46181.962477337962</v>
      </c>
      <c r="B3" s="3" t="s">
        <v>110</v>
      </c>
      <c r="C3" s="3" t="s">
        <v>111</v>
      </c>
      <c r="D3" s="3" t="s">
        <v>112</v>
      </c>
      <c r="E3" s="3" t="s">
        <v>77</v>
      </c>
      <c r="F3" s="3" t="s">
        <v>81</v>
      </c>
      <c r="G3" s="3" t="s">
        <v>77</v>
      </c>
      <c r="H3" s="3" t="s">
        <v>77</v>
      </c>
      <c r="I3" s="3" t="s">
        <v>113</v>
      </c>
      <c r="J3" s="3" t="s">
        <v>81</v>
      </c>
      <c r="K3" s="3" t="s">
        <v>80</v>
      </c>
      <c r="L3" s="3" t="s">
        <v>114</v>
      </c>
      <c r="M3" s="3" t="s">
        <v>79</v>
      </c>
      <c r="N3" s="3" t="s">
        <v>79</v>
      </c>
      <c r="O3" s="3" t="s">
        <v>114</v>
      </c>
      <c r="P3" s="3" t="s">
        <v>81</v>
      </c>
      <c r="Q3" s="3" t="s">
        <v>115</v>
      </c>
      <c r="R3" s="3" t="s">
        <v>83</v>
      </c>
      <c r="S3" s="3" t="s">
        <v>82</v>
      </c>
      <c r="T3" s="3" t="s">
        <v>82</v>
      </c>
      <c r="U3" s="3" t="s">
        <v>83</v>
      </c>
      <c r="V3" s="3" t="s">
        <v>116</v>
      </c>
      <c r="W3" s="3" t="s">
        <v>86</v>
      </c>
      <c r="X3" s="3" t="s">
        <v>116</v>
      </c>
      <c r="Y3" s="3" t="s">
        <v>81</v>
      </c>
      <c r="Z3" s="3" t="s">
        <v>116</v>
      </c>
      <c r="AA3" s="3" t="s">
        <v>84</v>
      </c>
      <c r="AB3" s="3" t="s">
        <v>88</v>
      </c>
      <c r="AC3" s="3" t="s">
        <v>87</v>
      </c>
      <c r="AD3" s="3" t="s">
        <v>88</v>
      </c>
      <c r="AE3" s="3" t="s">
        <v>87</v>
      </c>
      <c r="AF3" s="3" t="s">
        <v>89</v>
      </c>
      <c r="AG3" s="3" t="s">
        <v>81</v>
      </c>
      <c r="AH3" s="3" t="s">
        <v>117</v>
      </c>
      <c r="AI3" s="3" t="s">
        <v>90</v>
      </c>
      <c r="AJ3" s="3" t="s">
        <v>91</v>
      </c>
      <c r="AK3" s="3" t="s">
        <v>92</v>
      </c>
      <c r="AL3" s="3" t="s">
        <v>81</v>
      </c>
      <c r="AM3" s="3" t="s">
        <v>91</v>
      </c>
      <c r="AN3" s="3" t="s">
        <v>93</v>
      </c>
      <c r="AO3" s="3" t="s">
        <v>118</v>
      </c>
      <c r="AP3" s="3" t="s">
        <v>93</v>
      </c>
      <c r="AQ3" s="3" t="s">
        <v>94</v>
      </c>
      <c r="AR3" s="3" t="s">
        <v>81</v>
      </c>
      <c r="AS3" s="3" t="s">
        <v>93</v>
      </c>
      <c r="AT3" s="3" t="s">
        <v>95</v>
      </c>
      <c r="AU3" s="3" t="s">
        <v>81</v>
      </c>
      <c r="AV3" s="3" t="s">
        <v>95</v>
      </c>
      <c r="AW3" s="3" t="s">
        <v>96</v>
      </c>
      <c r="AX3" s="3" t="s">
        <v>97</v>
      </c>
      <c r="AY3" s="3" t="s">
        <v>95</v>
      </c>
      <c r="AZ3" s="3" t="s">
        <v>98</v>
      </c>
      <c r="BA3" s="3" t="s">
        <v>99</v>
      </c>
      <c r="BB3" s="3" t="s">
        <v>98</v>
      </c>
      <c r="BC3" s="3" t="s">
        <v>81</v>
      </c>
      <c r="BD3" s="3" t="s">
        <v>98</v>
      </c>
      <c r="BE3" s="3" t="s">
        <v>100</v>
      </c>
      <c r="BF3" s="3" t="s">
        <v>101</v>
      </c>
      <c r="BG3" s="3" t="s">
        <v>103</v>
      </c>
      <c r="BH3" s="3" t="s">
        <v>101</v>
      </c>
      <c r="BI3" s="3" t="s">
        <v>119</v>
      </c>
      <c r="BJ3" s="3" t="s">
        <v>119</v>
      </c>
      <c r="BK3" s="3" t="s">
        <v>101</v>
      </c>
      <c r="BL3" s="3" t="s">
        <v>104</v>
      </c>
      <c r="BM3" s="3" t="s">
        <v>105</v>
      </c>
      <c r="BN3" s="3" t="s">
        <v>104</v>
      </c>
      <c r="BO3" s="3" t="s">
        <v>105</v>
      </c>
      <c r="BP3" s="3" t="s">
        <v>104</v>
      </c>
      <c r="BQ3" s="3" t="s">
        <v>120</v>
      </c>
      <c r="BR3" s="3" t="s">
        <v>107</v>
      </c>
      <c r="BS3" s="3" t="s">
        <v>108</v>
      </c>
      <c r="BT3" s="3" t="s">
        <v>107</v>
      </c>
      <c r="BU3" s="3" t="s">
        <v>109</v>
      </c>
      <c r="BV3" s="3" t="s">
        <v>107</v>
      </c>
      <c r="BW3" s="3" t="s">
        <v>109</v>
      </c>
      <c r="BX3" s="5" cm="1">
        <f t="array" ref="BX3">SUMPRODUCT((D3:BW3=D$21:BW$21)*(D$21:BW$21&lt;&gt;""))</f>
        <v>28</v>
      </c>
      <c r="BY3" t="str">
        <f>Form_Responses[[#This Row],[Aquí ponga su nombre y apellido]]</f>
        <v>Thiago Puga</v>
      </c>
    </row>
    <row r="4" spans="1:77" ht="22.5" customHeight="1" x14ac:dyDescent="0.25">
      <c r="A4" s="2">
        <v>46182.892736377311</v>
      </c>
      <c r="B4" s="3" t="s">
        <v>121</v>
      </c>
      <c r="C4" s="3" t="s">
        <v>122</v>
      </c>
      <c r="D4" s="3" t="s">
        <v>112</v>
      </c>
      <c r="E4" s="3" t="s">
        <v>81</v>
      </c>
      <c r="F4" s="3" t="s">
        <v>78</v>
      </c>
      <c r="G4" s="3" t="s">
        <v>81</v>
      </c>
      <c r="H4" s="3" t="s">
        <v>81</v>
      </c>
      <c r="I4" s="3" t="s">
        <v>81</v>
      </c>
      <c r="J4" s="3" t="s">
        <v>79</v>
      </c>
      <c r="K4" s="3" t="s">
        <v>80</v>
      </c>
      <c r="L4" s="3" t="s">
        <v>80</v>
      </c>
      <c r="M4" s="3" t="s">
        <v>81</v>
      </c>
      <c r="N4" s="3" t="s">
        <v>81</v>
      </c>
      <c r="O4" s="3" t="s">
        <v>114</v>
      </c>
      <c r="P4" s="3" t="s">
        <v>83</v>
      </c>
      <c r="Q4" s="3" t="s">
        <v>115</v>
      </c>
      <c r="R4" s="3" t="s">
        <v>81</v>
      </c>
      <c r="S4" s="3" t="s">
        <v>82</v>
      </c>
      <c r="T4" s="3" t="s">
        <v>82</v>
      </c>
      <c r="U4" s="3" t="s">
        <v>83</v>
      </c>
      <c r="V4" s="3" t="s">
        <v>84</v>
      </c>
      <c r="W4" s="3" t="s">
        <v>86</v>
      </c>
      <c r="X4" s="3" t="s">
        <v>116</v>
      </c>
      <c r="Y4" s="3" t="s">
        <v>81</v>
      </c>
      <c r="Z4" s="3" t="s">
        <v>116</v>
      </c>
      <c r="AA4" s="3" t="s">
        <v>84</v>
      </c>
      <c r="AB4" s="3" t="s">
        <v>88</v>
      </c>
      <c r="AC4" s="3" t="s">
        <v>81</v>
      </c>
      <c r="AD4" s="3" t="s">
        <v>88</v>
      </c>
      <c r="AE4" s="3" t="s">
        <v>87</v>
      </c>
      <c r="AF4" s="3" t="s">
        <v>89</v>
      </c>
      <c r="AG4" s="3" t="s">
        <v>81</v>
      </c>
      <c r="AH4" s="3" t="s">
        <v>91</v>
      </c>
      <c r="AI4" s="3" t="s">
        <v>90</v>
      </c>
      <c r="AJ4" s="3" t="s">
        <v>91</v>
      </c>
      <c r="AK4" s="3" t="s">
        <v>92</v>
      </c>
      <c r="AL4" s="3" t="s">
        <v>81</v>
      </c>
      <c r="AM4" s="3" t="s">
        <v>91</v>
      </c>
      <c r="AN4" s="3" t="s">
        <v>93</v>
      </c>
      <c r="AO4" s="3" t="s">
        <v>81</v>
      </c>
      <c r="AP4" s="3" t="s">
        <v>81</v>
      </c>
      <c r="AQ4" s="3" t="s">
        <v>94</v>
      </c>
      <c r="AR4" s="3" t="s">
        <v>94</v>
      </c>
      <c r="AS4" s="3" t="s">
        <v>93</v>
      </c>
      <c r="AT4" s="3" t="s">
        <v>95</v>
      </c>
      <c r="AU4" s="3" t="s">
        <v>81</v>
      </c>
      <c r="AV4" s="3" t="s">
        <v>95</v>
      </c>
      <c r="AW4" s="3" t="s">
        <v>96</v>
      </c>
      <c r="AX4" s="3" t="s">
        <v>97</v>
      </c>
      <c r="AY4" s="3" t="s">
        <v>81</v>
      </c>
      <c r="AZ4" s="3" t="s">
        <v>98</v>
      </c>
      <c r="BA4" s="3" t="s">
        <v>99</v>
      </c>
      <c r="BB4" s="3" t="s">
        <v>98</v>
      </c>
      <c r="BC4" s="3" t="s">
        <v>99</v>
      </c>
      <c r="BD4" s="3" t="s">
        <v>81</v>
      </c>
      <c r="BE4" s="3" t="s">
        <v>100</v>
      </c>
      <c r="BF4" s="3" t="s">
        <v>101</v>
      </c>
      <c r="BG4" s="3" t="s">
        <v>103</v>
      </c>
      <c r="BH4" s="3" t="s">
        <v>101</v>
      </c>
      <c r="BI4" s="3" t="s">
        <v>81</v>
      </c>
      <c r="BJ4" s="3" t="s">
        <v>119</v>
      </c>
      <c r="BK4" s="3" t="s">
        <v>101</v>
      </c>
      <c r="BL4" s="3" t="s">
        <v>104</v>
      </c>
      <c r="BM4" s="3" t="s">
        <v>105</v>
      </c>
      <c r="BN4" s="3" t="s">
        <v>104</v>
      </c>
      <c r="BO4" s="3" t="s">
        <v>81</v>
      </c>
      <c r="BP4" s="3" t="s">
        <v>81</v>
      </c>
      <c r="BQ4" s="3" t="s">
        <v>120</v>
      </c>
      <c r="BR4" s="3" t="s">
        <v>107</v>
      </c>
      <c r="BS4" s="3" t="s">
        <v>108</v>
      </c>
      <c r="BT4" s="3" t="s">
        <v>81</v>
      </c>
      <c r="BU4" s="3" t="s">
        <v>109</v>
      </c>
      <c r="BV4" s="3" t="s">
        <v>107</v>
      </c>
      <c r="BW4" s="3" t="s">
        <v>109</v>
      </c>
      <c r="BX4" s="5" cm="1">
        <f t="array" ref="BX4">SUMPRODUCT((D4:BW4=D$21:BW$21)*(D$21:BW$21&lt;&gt;""))</f>
        <v>24</v>
      </c>
      <c r="BY4" t="str">
        <f>Form_Responses[[#This Row],[Aquí ponga su nombre y apellido]]</f>
        <v>Facundo Gasparini</v>
      </c>
    </row>
    <row r="5" spans="1:77" ht="22.5" customHeight="1" x14ac:dyDescent="0.25">
      <c r="A5" s="2">
        <v>46183.475347395834</v>
      </c>
      <c r="B5" s="3" t="s">
        <v>123</v>
      </c>
      <c r="C5" s="3" t="s">
        <v>124</v>
      </c>
      <c r="D5" s="3" t="s">
        <v>81</v>
      </c>
      <c r="E5" s="3" t="s">
        <v>78</v>
      </c>
      <c r="F5" s="3" t="s">
        <v>78</v>
      </c>
      <c r="G5" s="3" t="s">
        <v>112</v>
      </c>
      <c r="H5" s="3" t="s">
        <v>76</v>
      </c>
      <c r="I5" s="3" t="s">
        <v>113</v>
      </c>
      <c r="J5" s="3" t="s">
        <v>79</v>
      </c>
      <c r="K5" s="3" t="s">
        <v>80</v>
      </c>
      <c r="L5" s="3" t="s">
        <v>80</v>
      </c>
      <c r="M5" s="3" t="s">
        <v>79</v>
      </c>
      <c r="N5" s="3" t="s">
        <v>79</v>
      </c>
      <c r="O5" s="3" t="s">
        <v>114</v>
      </c>
      <c r="P5" s="3" t="s">
        <v>81</v>
      </c>
      <c r="Q5" s="3" t="s">
        <v>115</v>
      </c>
      <c r="R5" s="3" t="s">
        <v>83</v>
      </c>
      <c r="S5" s="3" t="s">
        <v>82</v>
      </c>
      <c r="T5" s="3" t="s">
        <v>82</v>
      </c>
      <c r="U5" s="3" t="s">
        <v>83</v>
      </c>
      <c r="V5" s="3" t="s">
        <v>84</v>
      </c>
      <c r="W5" s="3" t="s">
        <v>86</v>
      </c>
      <c r="X5" s="3" t="s">
        <v>85</v>
      </c>
      <c r="Y5" s="3" t="s">
        <v>84</v>
      </c>
      <c r="Z5" s="3" t="s">
        <v>81</v>
      </c>
      <c r="AA5" s="3" t="s">
        <v>85</v>
      </c>
      <c r="AB5" s="3" t="s">
        <v>88</v>
      </c>
      <c r="AC5" s="3" t="s">
        <v>81</v>
      </c>
      <c r="AD5" s="3" t="s">
        <v>88</v>
      </c>
      <c r="AE5" s="3" t="s">
        <v>87</v>
      </c>
      <c r="AF5" s="3" t="s">
        <v>89</v>
      </c>
      <c r="AG5" s="3" t="s">
        <v>87</v>
      </c>
      <c r="AH5" s="3" t="s">
        <v>117</v>
      </c>
      <c r="AI5" s="3" t="s">
        <v>81</v>
      </c>
      <c r="AJ5" s="3" t="s">
        <v>91</v>
      </c>
      <c r="AK5" s="3" t="s">
        <v>92</v>
      </c>
      <c r="AL5" s="3" t="s">
        <v>90</v>
      </c>
      <c r="AM5" s="3" t="s">
        <v>91</v>
      </c>
      <c r="AN5" s="3" t="s">
        <v>93</v>
      </c>
      <c r="AO5" s="3" t="s">
        <v>81</v>
      </c>
      <c r="AP5" s="3" t="s">
        <v>93</v>
      </c>
      <c r="AQ5" s="3" t="s">
        <v>94</v>
      </c>
      <c r="AR5" s="3" t="s">
        <v>94</v>
      </c>
      <c r="AS5" s="3" t="s">
        <v>93</v>
      </c>
      <c r="AT5" s="3" t="s">
        <v>95</v>
      </c>
      <c r="AU5" s="3" t="s">
        <v>81</v>
      </c>
      <c r="AV5" s="3" t="s">
        <v>95</v>
      </c>
      <c r="AW5" s="3" t="s">
        <v>96</v>
      </c>
      <c r="AX5" s="3" t="s">
        <v>97</v>
      </c>
      <c r="AY5" s="3" t="s">
        <v>95</v>
      </c>
      <c r="AZ5" s="3" t="s">
        <v>98</v>
      </c>
      <c r="BA5" s="3" t="s">
        <v>99</v>
      </c>
      <c r="BB5" s="3" t="s">
        <v>98</v>
      </c>
      <c r="BC5" s="3" t="s">
        <v>81</v>
      </c>
      <c r="BD5" s="3" t="s">
        <v>98</v>
      </c>
      <c r="BE5" s="3" t="s">
        <v>100</v>
      </c>
      <c r="BF5" s="3" t="s">
        <v>101</v>
      </c>
      <c r="BG5" s="3" t="s">
        <v>103</v>
      </c>
      <c r="BH5" s="3" t="s">
        <v>101</v>
      </c>
      <c r="BI5" s="3" t="s">
        <v>102</v>
      </c>
      <c r="BJ5" s="3" t="s">
        <v>103</v>
      </c>
      <c r="BK5" s="3" t="s">
        <v>101</v>
      </c>
      <c r="BL5" s="3" t="s">
        <v>104</v>
      </c>
      <c r="BM5" s="3" t="s">
        <v>105</v>
      </c>
      <c r="BN5" s="3" t="s">
        <v>104</v>
      </c>
      <c r="BO5" s="3" t="s">
        <v>105</v>
      </c>
      <c r="BP5" s="3" t="s">
        <v>104</v>
      </c>
      <c r="BQ5" s="3" t="s">
        <v>106</v>
      </c>
      <c r="BR5" s="3" t="s">
        <v>107</v>
      </c>
      <c r="BS5" s="3" t="s">
        <v>125</v>
      </c>
      <c r="BT5" s="3" t="s">
        <v>107</v>
      </c>
      <c r="BU5" s="3" t="s">
        <v>109</v>
      </c>
      <c r="BV5" s="3" t="s">
        <v>125</v>
      </c>
      <c r="BW5" s="3" t="s">
        <v>109</v>
      </c>
      <c r="BX5" s="5" cm="1">
        <f t="array" ref="BX5">SUMPRODUCT((D5:BW5=D$21:BW$21)*(D$21:BW$21&lt;&gt;""))</f>
        <v>24</v>
      </c>
      <c r="BY5" t="str">
        <f>Form_Responses[[#This Row],[Aquí ponga su nombre y apellido]]</f>
        <v>Thiago Campobello</v>
      </c>
    </row>
    <row r="6" spans="1:77" ht="22.5" customHeight="1" x14ac:dyDescent="0.25">
      <c r="A6" s="2">
        <v>46183.482034525463</v>
      </c>
      <c r="B6" s="3" t="s">
        <v>126</v>
      </c>
      <c r="C6" s="3" t="s">
        <v>127</v>
      </c>
      <c r="D6" s="3" t="s">
        <v>112</v>
      </c>
      <c r="E6" s="3" t="s">
        <v>81</v>
      </c>
      <c r="F6" s="3" t="s">
        <v>78</v>
      </c>
      <c r="G6" s="3" t="s">
        <v>81</v>
      </c>
      <c r="H6" s="3" t="s">
        <v>77</v>
      </c>
      <c r="I6" s="3" t="s">
        <v>81</v>
      </c>
      <c r="J6" s="3" t="s">
        <v>79</v>
      </c>
      <c r="K6" s="3" t="s">
        <v>80</v>
      </c>
      <c r="L6" s="3" t="s">
        <v>80</v>
      </c>
      <c r="M6" s="3" t="s">
        <v>79</v>
      </c>
      <c r="N6" s="3" t="s">
        <v>81</v>
      </c>
      <c r="O6" s="3" t="s">
        <v>81</v>
      </c>
      <c r="P6" s="3" t="s">
        <v>81</v>
      </c>
      <c r="Q6" s="3" t="s">
        <v>115</v>
      </c>
      <c r="R6" s="3" t="s">
        <v>83</v>
      </c>
      <c r="S6" s="3" t="s">
        <v>82</v>
      </c>
      <c r="T6" s="3" t="s">
        <v>82</v>
      </c>
      <c r="U6" s="3" t="s">
        <v>83</v>
      </c>
      <c r="V6" s="3" t="s">
        <v>81</v>
      </c>
      <c r="W6" s="3" t="s">
        <v>81</v>
      </c>
      <c r="X6" s="3" t="s">
        <v>116</v>
      </c>
      <c r="Y6" s="3" t="s">
        <v>81</v>
      </c>
      <c r="Z6" s="3" t="s">
        <v>116</v>
      </c>
      <c r="AA6" s="3" t="s">
        <v>84</v>
      </c>
      <c r="AB6" s="3" t="s">
        <v>88</v>
      </c>
      <c r="AC6" s="3" t="s">
        <v>81</v>
      </c>
      <c r="AD6" s="3" t="s">
        <v>88</v>
      </c>
      <c r="AE6" s="3" t="s">
        <v>87</v>
      </c>
      <c r="AF6" s="3" t="s">
        <v>89</v>
      </c>
      <c r="AG6" s="3" t="s">
        <v>88</v>
      </c>
      <c r="AH6" s="3" t="s">
        <v>81</v>
      </c>
      <c r="AI6" s="3" t="s">
        <v>90</v>
      </c>
      <c r="AJ6" s="3" t="s">
        <v>91</v>
      </c>
      <c r="AK6" s="3" t="s">
        <v>92</v>
      </c>
      <c r="AL6" s="3" t="s">
        <v>92</v>
      </c>
      <c r="AM6" s="3" t="s">
        <v>91</v>
      </c>
      <c r="AN6" s="3" t="s">
        <v>93</v>
      </c>
      <c r="AO6" s="3" t="s">
        <v>128</v>
      </c>
      <c r="AP6" s="3" t="s">
        <v>81</v>
      </c>
      <c r="AQ6" s="3" t="s">
        <v>94</v>
      </c>
      <c r="AR6" s="3" t="s">
        <v>81</v>
      </c>
      <c r="AS6" s="3" t="s">
        <v>93</v>
      </c>
      <c r="AT6" s="3" t="s">
        <v>95</v>
      </c>
      <c r="AU6" s="3" t="s">
        <v>96</v>
      </c>
      <c r="AV6" s="3" t="s">
        <v>95</v>
      </c>
      <c r="AW6" s="3" t="s">
        <v>96</v>
      </c>
      <c r="AX6" s="3" t="s">
        <v>97</v>
      </c>
      <c r="AY6" s="3" t="s">
        <v>95</v>
      </c>
      <c r="AZ6" s="3" t="s">
        <v>98</v>
      </c>
      <c r="BA6" s="3" t="s">
        <v>99</v>
      </c>
      <c r="BB6" s="3" t="s">
        <v>98</v>
      </c>
      <c r="BC6" s="3" t="s">
        <v>99</v>
      </c>
      <c r="BD6" s="3" t="s">
        <v>81</v>
      </c>
      <c r="BE6" s="3" t="s">
        <v>100</v>
      </c>
      <c r="BF6" s="3" t="s">
        <v>101</v>
      </c>
      <c r="BG6" s="3" t="s">
        <v>103</v>
      </c>
      <c r="BH6" s="3" t="s">
        <v>101</v>
      </c>
      <c r="BI6" s="3" t="s">
        <v>119</v>
      </c>
      <c r="BJ6" s="3" t="s">
        <v>81</v>
      </c>
      <c r="BK6" s="3" t="s">
        <v>101</v>
      </c>
      <c r="BL6" s="3" t="s">
        <v>104</v>
      </c>
      <c r="BM6" s="3" t="s">
        <v>105</v>
      </c>
      <c r="BN6" s="3" t="s">
        <v>104</v>
      </c>
      <c r="BO6" s="3" t="s">
        <v>105</v>
      </c>
      <c r="BP6" s="3" t="s">
        <v>81</v>
      </c>
      <c r="BQ6" s="3" t="s">
        <v>120</v>
      </c>
      <c r="BR6" s="3" t="s">
        <v>107</v>
      </c>
      <c r="BS6" s="3" t="s">
        <v>108</v>
      </c>
      <c r="BT6" s="3" t="s">
        <v>107</v>
      </c>
      <c r="BU6" s="3" t="s">
        <v>109</v>
      </c>
      <c r="BV6" s="3" t="s">
        <v>107</v>
      </c>
      <c r="BW6" s="3" t="s">
        <v>81</v>
      </c>
      <c r="BX6" s="5" cm="1">
        <f t="array" ref="BX6">SUMPRODUCT((D6:BW6=D$21:BW$21)*(D$21:BW$21&lt;&gt;""))</f>
        <v>26</v>
      </c>
      <c r="BY6" t="str">
        <f>Form_Responses[[#This Row],[Aquí ponga su nombre y apellido]]</f>
        <v>Mateo Mora</v>
      </c>
    </row>
    <row r="7" spans="1:77" ht="22.5" customHeight="1" x14ac:dyDescent="0.25">
      <c r="A7" s="2">
        <v>46183.494722708332</v>
      </c>
      <c r="B7" s="3" t="s">
        <v>129</v>
      </c>
      <c r="C7" s="3" t="s">
        <v>130</v>
      </c>
      <c r="D7" s="3" t="s">
        <v>112</v>
      </c>
      <c r="E7" s="3" t="s">
        <v>77</v>
      </c>
      <c r="F7" s="3" t="s">
        <v>81</v>
      </c>
      <c r="G7" s="3" t="s">
        <v>81</v>
      </c>
      <c r="H7" s="3" t="s">
        <v>77</v>
      </c>
      <c r="I7" s="3" t="s">
        <v>81</v>
      </c>
      <c r="J7" s="3" t="s">
        <v>79</v>
      </c>
      <c r="K7" s="3" t="s">
        <v>81</v>
      </c>
      <c r="L7" s="3" t="s">
        <v>80</v>
      </c>
      <c r="M7" s="3" t="s">
        <v>81</v>
      </c>
      <c r="N7" s="3" t="s">
        <v>81</v>
      </c>
      <c r="O7" s="3" t="s">
        <v>131</v>
      </c>
      <c r="P7" s="3" t="s">
        <v>82</v>
      </c>
      <c r="Q7" s="3" t="s">
        <v>115</v>
      </c>
      <c r="R7" s="3" t="s">
        <v>81</v>
      </c>
      <c r="S7" s="3" t="s">
        <v>82</v>
      </c>
      <c r="T7" s="3" t="s">
        <v>82</v>
      </c>
      <c r="U7" s="3" t="s">
        <v>81</v>
      </c>
      <c r="V7" s="3" t="s">
        <v>116</v>
      </c>
      <c r="W7" s="3" t="s">
        <v>86</v>
      </c>
      <c r="X7" s="3" t="s">
        <v>81</v>
      </c>
      <c r="Y7" s="3" t="s">
        <v>86</v>
      </c>
      <c r="Z7" s="3" t="s">
        <v>86</v>
      </c>
      <c r="AA7" s="3" t="s">
        <v>85</v>
      </c>
      <c r="AB7" s="3" t="s">
        <v>88</v>
      </c>
      <c r="AC7" s="3" t="s">
        <v>81</v>
      </c>
      <c r="AD7" s="3" t="s">
        <v>88</v>
      </c>
      <c r="AE7" s="3" t="s">
        <v>87</v>
      </c>
      <c r="AF7" s="3" t="s">
        <v>81</v>
      </c>
      <c r="AG7" s="3" t="s">
        <v>88</v>
      </c>
      <c r="AH7" s="3" t="s">
        <v>117</v>
      </c>
      <c r="AI7" s="3" t="s">
        <v>90</v>
      </c>
      <c r="AJ7" s="3" t="s">
        <v>81</v>
      </c>
      <c r="AK7" s="3" t="s">
        <v>81</v>
      </c>
      <c r="AL7" s="3" t="s">
        <v>92</v>
      </c>
      <c r="AM7" s="3" t="s">
        <v>91</v>
      </c>
      <c r="AN7" s="3" t="s">
        <v>93</v>
      </c>
      <c r="AO7" s="3" t="s">
        <v>118</v>
      </c>
      <c r="AP7" s="3" t="s">
        <v>93</v>
      </c>
      <c r="AQ7" s="3" t="s">
        <v>81</v>
      </c>
      <c r="AR7" s="3" t="s">
        <v>94</v>
      </c>
      <c r="AS7" s="3" t="s">
        <v>81</v>
      </c>
      <c r="AT7" s="3" t="s">
        <v>95</v>
      </c>
      <c r="AU7" s="3" t="s">
        <v>81</v>
      </c>
      <c r="AV7" s="3" t="s">
        <v>95</v>
      </c>
      <c r="AW7" s="3" t="s">
        <v>81</v>
      </c>
      <c r="AX7" s="3" t="s">
        <v>81</v>
      </c>
      <c r="AY7" s="3" t="s">
        <v>95</v>
      </c>
      <c r="AZ7" s="3" t="s">
        <v>98</v>
      </c>
      <c r="BA7" s="3" t="s">
        <v>99</v>
      </c>
      <c r="BB7" s="3" t="s">
        <v>98</v>
      </c>
      <c r="BC7" s="3" t="s">
        <v>99</v>
      </c>
      <c r="BD7" s="3" t="s">
        <v>81</v>
      </c>
      <c r="BE7" s="3" t="s">
        <v>132</v>
      </c>
      <c r="BF7" s="3" t="s">
        <v>101</v>
      </c>
      <c r="BG7" s="3" t="s">
        <v>102</v>
      </c>
      <c r="BH7" s="3" t="s">
        <v>101</v>
      </c>
      <c r="BI7" s="3" t="s">
        <v>81</v>
      </c>
      <c r="BJ7" s="3" t="s">
        <v>81</v>
      </c>
      <c r="BK7" s="3" t="s">
        <v>101</v>
      </c>
      <c r="BL7" s="3" t="s">
        <v>104</v>
      </c>
      <c r="BM7" s="3" t="s">
        <v>81</v>
      </c>
      <c r="BN7" s="3" t="s">
        <v>104</v>
      </c>
      <c r="BO7" s="3" t="s">
        <v>81</v>
      </c>
      <c r="BP7" s="3" t="s">
        <v>104</v>
      </c>
      <c r="BQ7" s="3" t="s">
        <v>81</v>
      </c>
      <c r="BR7" s="3" t="s">
        <v>107</v>
      </c>
      <c r="BS7" s="3" t="s">
        <v>81</v>
      </c>
      <c r="BT7" s="3" t="s">
        <v>107</v>
      </c>
      <c r="BU7" s="3" t="s">
        <v>109</v>
      </c>
      <c r="BV7" s="3" t="s">
        <v>81</v>
      </c>
      <c r="BW7" s="3" t="s">
        <v>109</v>
      </c>
      <c r="BX7" s="5" cm="1">
        <f t="array" ref="BX7">SUMPRODUCT((D7:BW7=D$21:BW$21)*(D$21:BW$21&lt;&gt;""))</f>
        <v>20</v>
      </c>
      <c r="BY7" t="str">
        <f>Form_Responses[[#This Row],[Aquí ponga su nombre y apellido]]</f>
        <v xml:space="preserve">Federico Fischer </v>
      </c>
    </row>
    <row r="8" spans="1:77" ht="22.5" customHeight="1" x14ac:dyDescent="0.25">
      <c r="A8" s="2">
        <v>46183.516969050921</v>
      </c>
      <c r="B8" s="3" t="s">
        <v>133</v>
      </c>
      <c r="C8" s="3" t="s">
        <v>134</v>
      </c>
      <c r="D8" s="3" t="s">
        <v>112</v>
      </c>
      <c r="E8" s="3" t="s">
        <v>77</v>
      </c>
      <c r="F8" s="3" t="s">
        <v>81</v>
      </c>
      <c r="G8" s="3" t="s">
        <v>81</v>
      </c>
      <c r="H8" s="3" t="s">
        <v>77</v>
      </c>
      <c r="I8" s="3" t="s">
        <v>113</v>
      </c>
      <c r="J8" s="3" t="s">
        <v>79</v>
      </c>
      <c r="K8" s="3" t="s">
        <v>80</v>
      </c>
      <c r="L8" s="3" t="s">
        <v>80</v>
      </c>
      <c r="M8" s="3" t="s">
        <v>79</v>
      </c>
      <c r="N8" s="3" t="s">
        <v>81</v>
      </c>
      <c r="O8" s="3" t="s">
        <v>114</v>
      </c>
      <c r="P8" s="3" t="s">
        <v>83</v>
      </c>
      <c r="Q8" s="3" t="s">
        <v>115</v>
      </c>
      <c r="R8" s="3" t="s">
        <v>83</v>
      </c>
      <c r="S8" s="3" t="s">
        <v>82</v>
      </c>
      <c r="T8" s="3" t="s">
        <v>82</v>
      </c>
      <c r="U8" s="3" t="s">
        <v>83</v>
      </c>
      <c r="V8" s="3" t="s">
        <v>116</v>
      </c>
      <c r="W8" s="3" t="s">
        <v>86</v>
      </c>
      <c r="X8" s="3" t="s">
        <v>81</v>
      </c>
      <c r="Y8" s="3" t="s">
        <v>84</v>
      </c>
      <c r="Z8" s="3" t="s">
        <v>116</v>
      </c>
      <c r="AA8" s="3" t="s">
        <v>81</v>
      </c>
      <c r="AB8" s="3" t="s">
        <v>88</v>
      </c>
      <c r="AC8" s="3" t="s">
        <v>87</v>
      </c>
      <c r="AD8" s="3" t="s">
        <v>88</v>
      </c>
      <c r="AE8" s="3" t="s">
        <v>87</v>
      </c>
      <c r="AF8" s="3" t="s">
        <v>81</v>
      </c>
      <c r="AG8" s="3" t="s">
        <v>81</v>
      </c>
      <c r="AH8" s="3" t="s">
        <v>91</v>
      </c>
      <c r="AI8" s="3" t="s">
        <v>90</v>
      </c>
      <c r="AJ8" s="3" t="s">
        <v>91</v>
      </c>
      <c r="AK8" s="3" t="s">
        <v>92</v>
      </c>
      <c r="AL8" s="3" t="s">
        <v>92</v>
      </c>
      <c r="AM8" s="3" t="s">
        <v>91</v>
      </c>
      <c r="AN8" s="3" t="s">
        <v>93</v>
      </c>
      <c r="AO8" s="3" t="s">
        <v>81</v>
      </c>
      <c r="AP8" s="3" t="s">
        <v>93</v>
      </c>
      <c r="AQ8" s="3" t="s">
        <v>94</v>
      </c>
      <c r="AR8" s="3" t="s">
        <v>94</v>
      </c>
      <c r="AS8" s="3" t="s">
        <v>93</v>
      </c>
      <c r="AT8" s="3" t="s">
        <v>95</v>
      </c>
      <c r="AU8" s="3" t="s">
        <v>96</v>
      </c>
      <c r="AV8" s="3" t="s">
        <v>95</v>
      </c>
      <c r="AW8" s="3" t="s">
        <v>96</v>
      </c>
      <c r="AX8" s="3" t="s">
        <v>81</v>
      </c>
      <c r="AY8" s="3" t="s">
        <v>81</v>
      </c>
      <c r="AZ8" s="3" t="s">
        <v>98</v>
      </c>
      <c r="BA8" s="3" t="s">
        <v>99</v>
      </c>
      <c r="BB8" s="3" t="s">
        <v>98</v>
      </c>
      <c r="BC8" s="3" t="s">
        <v>81</v>
      </c>
      <c r="BD8" s="3" t="s">
        <v>98</v>
      </c>
      <c r="BE8" s="3" t="s">
        <v>100</v>
      </c>
      <c r="BF8" s="3" t="s">
        <v>101</v>
      </c>
      <c r="BG8" s="3" t="s">
        <v>103</v>
      </c>
      <c r="BH8" s="3" t="s">
        <v>101</v>
      </c>
      <c r="BI8" s="3" t="s">
        <v>81</v>
      </c>
      <c r="BJ8" s="3" t="s">
        <v>103</v>
      </c>
      <c r="BK8" s="3" t="s">
        <v>101</v>
      </c>
      <c r="BL8" s="3" t="s">
        <v>104</v>
      </c>
      <c r="BM8" s="3" t="s">
        <v>105</v>
      </c>
      <c r="BN8" s="3" t="s">
        <v>104</v>
      </c>
      <c r="BO8" s="3" t="s">
        <v>105</v>
      </c>
      <c r="BP8" s="3" t="s">
        <v>81</v>
      </c>
      <c r="BQ8" s="3" t="s">
        <v>81</v>
      </c>
      <c r="BR8" s="3" t="s">
        <v>107</v>
      </c>
      <c r="BS8" s="3" t="s">
        <v>81</v>
      </c>
      <c r="BT8" s="3" t="s">
        <v>107</v>
      </c>
      <c r="BU8" s="3" t="s">
        <v>109</v>
      </c>
      <c r="BV8" s="3" t="s">
        <v>107</v>
      </c>
      <c r="BW8" s="3" t="s">
        <v>81</v>
      </c>
      <c r="BX8" s="5" cm="1">
        <f t="array" ref="BX8">SUMPRODUCT((D8:BW8=D$21:BW$21)*(D$21:BW$21&lt;&gt;""))</f>
        <v>26</v>
      </c>
      <c r="BY8" t="str">
        <f>Form_Responses[[#This Row],[Aquí ponga su nombre y apellido]]</f>
        <v>Lucas Marin</v>
      </c>
    </row>
    <row r="9" spans="1:77" ht="22.5" customHeight="1" x14ac:dyDescent="0.25">
      <c r="A9" s="2">
        <v>46183.809043136571</v>
      </c>
      <c r="B9" s="3" t="s">
        <v>135</v>
      </c>
      <c r="C9" s="3" t="s">
        <v>136</v>
      </c>
      <c r="D9" s="3" t="s">
        <v>81</v>
      </c>
      <c r="E9" s="3" t="s">
        <v>77</v>
      </c>
      <c r="F9" s="3" t="s">
        <v>81</v>
      </c>
      <c r="G9" s="3" t="s">
        <v>81</v>
      </c>
      <c r="H9" s="3" t="s">
        <v>81</v>
      </c>
      <c r="I9" s="3" t="s">
        <v>113</v>
      </c>
      <c r="J9" s="3" t="s">
        <v>81</v>
      </c>
      <c r="K9" s="3" t="s">
        <v>80</v>
      </c>
      <c r="L9" s="3" t="s">
        <v>80</v>
      </c>
      <c r="M9" s="3" t="s">
        <v>79</v>
      </c>
      <c r="N9" s="3" t="s">
        <v>80</v>
      </c>
      <c r="O9" s="3" t="s">
        <v>81</v>
      </c>
      <c r="P9" s="3" t="s">
        <v>83</v>
      </c>
      <c r="Q9" s="3" t="s">
        <v>115</v>
      </c>
      <c r="R9" s="3" t="s">
        <v>83</v>
      </c>
      <c r="S9" s="3" t="s">
        <v>82</v>
      </c>
      <c r="T9" s="3" t="s">
        <v>82</v>
      </c>
      <c r="U9" s="3" t="s">
        <v>83</v>
      </c>
      <c r="V9" s="3" t="s">
        <v>81</v>
      </c>
      <c r="W9" s="3" t="s">
        <v>86</v>
      </c>
      <c r="X9" s="3" t="s">
        <v>81</v>
      </c>
      <c r="Y9" s="3" t="s">
        <v>81</v>
      </c>
      <c r="Z9" s="3" t="s">
        <v>86</v>
      </c>
      <c r="AA9" s="3" t="s">
        <v>84</v>
      </c>
      <c r="AB9" s="3" t="s">
        <v>88</v>
      </c>
      <c r="AC9" s="3" t="s">
        <v>87</v>
      </c>
      <c r="AD9" s="3" t="s">
        <v>88</v>
      </c>
      <c r="AE9" s="3" t="s">
        <v>87</v>
      </c>
      <c r="AF9" s="3" t="s">
        <v>89</v>
      </c>
      <c r="AG9" s="3" t="s">
        <v>81</v>
      </c>
      <c r="AH9" s="3" t="s">
        <v>91</v>
      </c>
      <c r="AI9" s="3" t="s">
        <v>81</v>
      </c>
      <c r="AJ9" s="3" t="s">
        <v>91</v>
      </c>
      <c r="AK9" s="3" t="s">
        <v>92</v>
      </c>
      <c r="AL9" s="3" t="s">
        <v>92</v>
      </c>
      <c r="AM9" s="3" t="s">
        <v>91</v>
      </c>
      <c r="AN9" s="3" t="s">
        <v>93</v>
      </c>
      <c r="AO9" s="3" t="s">
        <v>118</v>
      </c>
      <c r="AP9" s="3" t="s">
        <v>93</v>
      </c>
      <c r="AQ9" s="3" t="s">
        <v>81</v>
      </c>
      <c r="AR9" s="3" t="s">
        <v>81</v>
      </c>
      <c r="AS9" s="3" t="s">
        <v>93</v>
      </c>
      <c r="AT9" s="3" t="s">
        <v>95</v>
      </c>
      <c r="AU9" s="3" t="s">
        <v>96</v>
      </c>
      <c r="AV9" s="3" t="s">
        <v>95</v>
      </c>
      <c r="AW9" s="3" t="s">
        <v>96</v>
      </c>
      <c r="AX9" s="3" t="s">
        <v>97</v>
      </c>
      <c r="AY9" s="3" t="s">
        <v>95</v>
      </c>
      <c r="AZ9" s="3" t="s">
        <v>98</v>
      </c>
      <c r="BA9" s="3" t="s">
        <v>99</v>
      </c>
      <c r="BB9" s="3" t="s">
        <v>98</v>
      </c>
      <c r="BC9" s="3" t="s">
        <v>99</v>
      </c>
      <c r="BD9" s="3" t="s">
        <v>98</v>
      </c>
      <c r="BE9" s="3" t="s">
        <v>100</v>
      </c>
      <c r="BF9" s="3" t="s">
        <v>101</v>
      </c>
      <c r="BG9" s="3" t="s">
        <v>103</v>
      </c>
      <c r="BH9" s="3" t="s">
        <v>101</v>
      </c>
      <c r="BI9" s="3" t="s">
        <v>119</v>
      </c>
      <c r="BJ9" s="3" t="s">
        <v>81</v>
      </c>
      <c r="BK9" s="3" t="s">
        <v>101</v>
      </c>
      <c r="BL9" s="3" t="s">
        <v>104</v>
      </c>
      <c r="BM9" s="3" t="s">
        <v>105</v>
      </c>
      <c r="BN9" s="3" t="s">
        <v>104</v>
      </c>
      <c r="BO9" s="3" t="s">
        <v>105</v>
      </c>
      <c r="BP9" s="3" t="s">
        <v>81</v>
      </c>
      <c r="BQ9" s="3" t="s">
        <v>106</v>
      </c>
      <c r="BR9" s="3" t="s">
        <v>81</v>
      </c>
      <c r="BS9" s="3" t="s">
        <v>108</v>
      </c>
      <c r="BT9" s="3" t="s">
        <v>107</v>
      </c>
      <c r="BU9" s="3" t="s">
        <v>109</v>
      </c>
      <c r="BV9" s="3" t="s">
        <v>107</v>
      </c>
      <c r="BW9" s="3" t="s">
        <v>109</v>
      </c>
      <c r="BX9" s="5" cm="1">
        <f t="array" ref="BX9">SUMPRODUCT((D9:BW9=D$21:BW$21)*(D$21:BW$21&lt;&gt;""))</f>
        <v>21</v>
      </c>
      <c r="BY9" t="str">
        <f>Form_Responses[[#This Row],[Aquí ponga su nombre y apellido]]</f>
        <v>Ignacio Saavedra</v>
      </c>
    </row>
    <row r="10" spans="1:77" ht="22.5" customHeight="1" x14ac:dyDescent="0.25">
      <c r="A10" s="2">
        <v>46183.832059409724</v>
      </c>
      <c r="B10" s="3" t="s">
        <v>137</v>
      </c>
      <c r="C10" s="3" t="s">
        <v>138</v>
      </c>
      <c r="D10" s="3" t="s">
        <v>112</v>
      </c>
      <c r="E10" s="3" t="s">
        <v>77</v>
      </c>
      <c r="F10" s="3" t="s">
        <v>81</v>
      </c>
      <c r="G10" s="3" t="s">
        <v>81</v>
      </c>
      <c r="H10" s="3" t="s">
        <v>77</v>
      </c>
      <c r="I10" s="3" t="s">
        <v>113</v>
      </c>
      <c r="J10" s="3" t="s">
        <v>79</v>
      </c>
      <c r="K10" s="3" t="s">
        <v>80</v>
      </c>
      <c r="L10" s="3" t="s">
        <v>81</v>
      </c>
      <c r="M10" s="3" t="s">
        <v>79</v>
      </c>
      <c r="N10" s="3" t="s">
        <v>79</v>
      </c>
      <c r="O10" s="3" t="s">
        <v>131</v>
      </c>
      <c r="P10" s="3" t="s">
        <v>82</v>
      </c>
      <c r="Q10" s="3" t="s">
        <v>115</v>
      </c>
      <c r="R10" s="3" t="s">
        <v>83</v>
      </c>
      <c r="S10" s="3" t="s">
        <v>82</v>
      </c>
      <c r="T10" s="3" t="s">
        <v>82</v>
      </c>
      <c r="U10" s="3" t="s">
        <v>83</v>
      </c>
      <c r="V10" s="3" t="s">
        <v>84</v>
      </c>
      <c r="W10" s="3" t="s">
        <v>81</v>
      </c>
      <c r="X10" s="3" t="s">
        <v>116</v>
      </c>
      <c r="Y10" s="3" t="s">
        <v>84</v>
      </c>
      <c r="Z10" s="3" t="s">
        <v>116</v>
      </c>
      <c r="AA10" s="3" t="s">
        <v>81</v>
      </c>
      <c r="AB10" s="3" t="s">
        <v>88</v>
      </c>
      <c r="AC10" s="3" t="s">
        <v>87</v>
      </c>
      <c r="AD10" s="3" t="s">
        <v>88</v>
      </c>
      <c r="AE10" s="3" t="s">
        <v>87</v>
      </c>
      <c r="AF10" s="3" t="s">
        <v>89</v>
      </c>
      <c r="AG10" s="3" t="s">
        <v>81</v>
      </c>
      <c r="AH10" s="3" t="s">
        <v>91</v>
      </c>
      <c r="AI10" s="3" t="s">
        <v>90</v>
      </c>
      <c r="AJ10" s="3" t="s">
        <v>81</v>
      </c>
      <c r="AK10" s="3" t="s">
        <v>92</v>
      </c>
      <c r="AL10" s="3" t="s">
        <v>92</v>
      </c>
      <c r="AM10" s="3" t="s">
        <v>91</v>
      </c>
      <c r="AN10" s="3" t="s">
        <v>93</v>
      </c>
      <c r="AO10" s="3" t="s">
        <v>81</v>
      </c>
      <c r="AP10" s="3" t="s">
        <v>93</v>
      </c>
      <c r="AQ10" s="3" t="s">
        <v>94</v>
      </c>
      <c r="AR10" s="3" t="s">
        <v>94</v>
      </c>
      <c r="AS10" s="3" t="s">
        <v>93</v>
      </c>
      <c r="AT10" s="3" t="s">
        <v>95</v>
      </c>
      <c r="AU10" s="3" t="s">
        <v>96</v>
      </c>
      <c r="AV10" s="3" t="s">
        <v>95</v>
      </c>
      <c r="AW10" s="3" t="s">
        <v>96</v>
      </c>
      <c r="AX10" s="3" t="s">
        <v>97</v>
      </c>
      <c r="AY10" s="3" t="s">
        <v>95</v>
      </c>
      <c r="AZ10" s="3" t="s">
        <v>98</v>
      </c>
      <c r="BA10" s="3" t="s">
        <v>99</v>
      </c>
      <c r="BB10" s="3" t="s">
        <v>98</v>
      </c>
      <c r="BC10" s="3" t="s">
        <v>99</v>
      </c>
      <c r="BD10" s="3" t="s">
        <v>98</v>
      </c>
      <c r="BE10" s="3" t="s">
        <v>100</v>
      </c>
      <c r="BF10" s="3" t="s">
        <v>101</v>
      </c>
      <c r="BG10" s="3" t="s">
        <v>103</v>
      </c>
      <c r="BH10" s="3" t="s">
        <v>101</v>
      </c>
      <c r="BI10" s="3" t="s">
        <v>119</v>
      </c>
      <c r="BJ10" s="3" t="s">
        <v>103</v>
      </c>
      <c r="BK10" s="3" t="s">
        <v>101</v>
      </c>
      <c r="BL10" s="3" t="s">
        <v>104</v>
      </c>
      <c r="BM10" s="3" t="s">
        <v>105</v>
      </c>
      <c r="BN10" s="3" t="s">
        <v>104</v>
      </c>
      <c r="BO10" s="3" t="s">
        <v>105</v>
      </c>
      <c r="BP10" s="3" t="s">
        <v>81</v>
      </c>
      <c r="BQ10" s="3" t="s">
        <v>120</v>
      </c>
      <c r="BR10" s="3" t="s">
        <v>81</v>
      </c>
      <c r="BS10" s="3" t="s">
        <v>108</v>
      </c>
      <c r="BT10" s="3" t="s">
        <v>107</v>
      </c>
      <c r="BU10" s="3" t="s">
        <v>109</v>
      </c>
      <c r="BV10" s="3" t="s">
        <v>107</v>
      </c>
      <c r="BW10" s="3" t="s">
        <v>109</v>
      </c>
      <c r="BX10" s="5" cm="1">
        <f t="array" ref="BX10">SUMPRODUCT((D10:BW10=D$21:BW$21)*(D$21:BW$21&lt;&gt;""))</f>
        <v>24</v>
      </c>
      <c r="BY10" t="str">
        <f>Form_Responses[[#This Row],[Aquí ponga su nombre y apellido]]</f>
        <v xml:space="preserve">Benjamin Arregui </v>
      </c>
    </row>
    <row r="11" spans="1:77" ht="22.5" customHeight="1" x14ac:dyDescent="0.25">
      <c r="A11" s="2">
        <v>46183.83433420139</v>
      </c>
      <c r="B11" s="3" t="s">
        <v>139</v>
      </c>
      <c r="C11" s="3" t="s">
        <v>140</v>
      </c>
      <c r="D11" s="3" t="s">
        <v>112</v>
      </c>
      <c r="E11" s="3" t="s">
        <v>81</v>
      </c>
      <c r="F11" s="3" t="s">
        <v>78</v>
      </c>
      <c r="G11" s="3" t="s">
        <v>112</v>
      </c>
      <c r="H11" s="3" t="s">
        <v>77</v>
      </c>
      <c r="I11" s="3" t="s">
        <v>81</v>
      </c>
      <c r="J11" s="3" t="s">
        <v>81</v>
      </c>
      <c r="K11" s="3" t="s">
        <v>80</v>
      </c>
      <c r="L11" s="3" t="s">
        <v>81</v>
      </c>
      <c r="M11" s="3" t="s">
        <v>79</v>
      </c>
      <c r="N11" s="3" t="s">
        <v>81</v>
      </c>
      <c r="O11" s="3" t="s">
        <v>114</v>
      </c>
      <c r="P11" s="3" t="s">
        <v>81</v>
      </c>
      <c r="Q11" s="3" t="s">
        <v>115</v>
      </c>
      <c r="R11" s="3" t="s">
        <v>83</v>
      </c>
      <c r="S11" s="3" t="s">
        <v>82</v>
      </c>
      <c r="T11" s="3" t="s">
        <v>81</v>
      </c>
      <c r="U11" s="3" t="s">
        <v>83</v>
      </c>
      <c r="V11" s="3" t="s">
        <v>84</v>
      </c>
      <c r="W11" s="3" t="s">
        <v>86</v>
      </c>
      <c r="X11" s="3" t="s">
        <v>116</v>
      </c>
      <c r="Y11" s="3" t="s">
        <v>81</v>
      </c>
      <c r="Z11" s="3" t="s">
        <v>86</v>
      </c>
      <c r="AA11" s="3" t="s">
        <v>84</v>
      </c>
      <c r="AB11" s="3" t="s">
        <v>88</v>
      </c>
      <c r="AC11" s="3" t="s">
        <v>87</v>
      </c>
      <c r="AD11" s="3" t="s">
        <v>88</v>
      </c>
      <c r="AE11" s="3" t="s">
        <v>87</v>
      </c>
      <c r="AF11" s="3" t="s">
        <v>89</v>
      </c>
      <c r="AG11" s="3" t="s">
        <v>81</v>
      </c>
      <c r="AH11" s="3" t="s">
        <v>81</v>
      </c>
      <c r="AI11" s="3" t="s">
        <v>90</v>
      </c>
      <c r="AJ11" s="3" t="s">
        <v>91</v>
      </c>
      <c r="AK11" s="3" t="s">
        <v>92</v>
      </c>
      <c r="AL11" s="3" t="s">
        <v>81</v>
      </c>
      <c r="AM11" s="3" t="s">
        <v>91</v>
      </c>
      <c r="AN11" s="3" t="s">
        <v>93</v>
      </c>
      <c r="AO11" s="3" t="s">
        <v>118</v>
      </c>
      <c r="AP11" s="3" t="s">
        <v>93</v>
      </c>
      <c r="AQ11" s="3" t="s">
        <v>94</v>
      </c>
      <c r="AR11" s="3" t="s">
        <v>81</v>
      </c>
      <c r="AS11" s="3" t="s">
        <v>93</v>
      </c>
      <c r="AT11" s="3" t="s">
        <v>95</v>
      </c>
      <c r="AU11" s="3" t="s">
        <v>81</v>
      </c>
      <c r="AV11" s="3" t="s">
        <v>95</v>
      </c>
      <c r="AW11" s="3" t="s">
        <v>96</v>
      </c>
      <c r="AX11" s="3" t="s">
        <v>97</v>
      </c>
      <c r="AY11" s="3" t="s">
        <v>95</v>
      </c>
      <c r="AZ11" s="3" t="s">
        <v>98</v>
      </c>
      <c r="BA11" s="3" t="s">
        <v>99</v>
      </c>
      <c r="BB11" s="3" t="s">
        <v>98</v>
      </c>
      <c r="BC11" s="3" t="s">
        <v>81</v>
      </c>
      <c r="BD11" s="3" t="s">
        <v>98</v>
      </c>
      <c r="BE11" s="3" t="s">
        <v>100</v>
      </c>
      <c r="BF11" s="3" t="s">
        <v>101</v>
      </c>
      <c r="BG11" s="3" t="s">
        <v>103</v>
      </c>
      <c r="BH11" s="3" t="s">
        <v>101</v>
      </c>
      <c r="BI11" s="3" t="s">
        <v>119</v>
      </c>
      <c r="BJ11" s="3" t="s">
        <v>81</v>
      </c>
      <c r="BK11" s="3" t="s">
        <v>101</v>
      </c>
      <c r="BL11" s="3" t="s">
        <v>104</v>
      </c>
      <c r="BM11" s="3" t="s">
        <v>81</v>
      </c>
      <c r="BN11" s="3" t="s">
        <v>104</v>
      </c>
      <c r="BO11" s="3" t="s">
        <v>105</v>
      </c>
      <c r="BP11" s="3" t="s">
        <v>81</v>
      </c>
      <c r="BQ11" s="3" t="s">
        <v>120</v>
      </c>
      <c r="BR11" s="3" t="s">
        <v>107</v>
      </c>
      <c r="BS11" s="3" t="s">
        <v>108</v>
      </c>
      <c r="BT11" s="3" t="s">
        <v>107</v>
      </c>
      <c r="BU11" s="3" t="s">
        <v>109</v>
      </c>
      <c r="BV11" s="3" t="s">
        <v>107</v>
      </c>
      <c r="BW11" s="3" t="s">
        <v>109</v>
      </c>
      <c r="BX11" s="5" cm="1">
        <f t="array" ref="BX11">SUMPRODUCT((D11:BW11=D$21:BW$21)*(D$21:BW$21&lt;&gt;""))</f>
        <v>26</v>
      </c>
      <c r="BY11" t="str">
        <f>Form_Responses[[#This Row],[Aquí ponga su nombre y apellido]]</f>
        <v>Ciro Lopez</v>
      </c>
    </row>
    <row r="12" spans="1:77" ht="22.5" customHeight="1" x14ac:dyDescent="0.25">
      <c r="A12" s="2">
        <v>46183.838254305556</v>
      </c>
      <c r="B12" s="3" t="s">
        <v>141</v>
      </c>
      <c r="C12" s="3" t="s">
        <v>142</v>
      </c>
      <c r="D12" s="3" t="s">
        <v>112</v>
      </c>
      <c r="E12" s="3" t="s">
        <v>77</v>
      </c>
      <c r="F12" s="3" t="s">
        <v>76</v>
      </c>
      <c r="G12" s="3" t="s">
        <v>77</v>
      </c>
      <c r="H12" s="3" t="s">
        <v>77</v>
      </c>
      <c r="I12" s="3" t="s">
        <v>81</v>
      </c>
      <c r="J12" s="3" t="s">
        <v>79</v>
      </c>
      <c r="K12" s="3" t="s">
        <v>80</v>
      </c>
      <c r="L12" s="3" t="s">
        <v>80</v>
      </c>
      <c r="M12" s="3" t="s">
        <v>79</v>
      </c>
      <c r="N12" s="3" t="s">
        <v>80</v>
      </c>
      <c r="O12" s="3" t="s">
        <v>131</v>
      </c>
      <c r="P12" s="3" t="s">
        <v>83</v>
      </c>
      <c r="Q12" s="3" t="s">
        <v>115</v>
      </c>
      <c r="R12" s="3" t="s">
        <v>83</v>
      </c>
      <c r="S12" s="3" t="s">
        <v>82</v>
      </c>
      <c r="T12" s="3" t="s">
        <v>81</v>
      </c>
      <c r="U12" s="3" t="s">
        <v>83</v>
      </c>
      <c r="V12" s="3" t="s">
        <v>84</v>
      </c>
      <c r="W12" s="3" t="s">
        <v>85</v>
      </c>
      <c r="X12" s="3" t="s">
        <v>81</v>
      </c>
      <c r="Y12" s="3" t="s">
        <v>84</v>
      </c>
      <c r="Z12" s="3" t="s">
        <v>116</v>
      </c>
      <c r="AA12" s="3" t="s">
        <v>81</v>
      </c>
      <c r="AB12" s="3" t="s">
        <v>88</v>
      </c>
      <c r="AC12" s="3" t="s">
        <v>87</v>
      </c>
      <c r="AD12" s="3" t="s">
        <v>88</v>
      </c>
      <c r="AE12" s="3" t="s">
        <v>87</v>
      </c>
      <c r="AF12" s="3" t="s">
        <v>89</v>
      </c>
      <c r="AG12" s="3" t="s">
        <v>87</v>
      </c>
      <c r="AH12" s="3" t="s">
        <v>117</v>
      </c>
      <c r="AI12" s="3" t="s">
        <v>90</v>
      </c>
      <c r="AJ12" s="3" t="s">
        <v>81</v>
      </c>
      <c r="AK12" s="3" t="s">
        <v>92</v>
      </c>
      <c r="AL12" s="3" t="s">
        <v>92</v>
      </c>
      <c r="AM12" s="3" t="s">
        <v>91</v>
      </c>
      <c r="AN12" s="3" t="s">
        <v>93</v>
      </c>
      <c r="AO12" s="3" t="s">
        <v>128</v>
      </c>
      <c r="AP12" s="3" t="s">
        <v>93</v>
      </c>
      <c r="AQ12" s="3" t="s">
        <v>94</v>
      </c>
      <c r="AR12" s="3" t="s">
        <v>81</v>
      </c>
      <c r="AS12" s="3" t="s">
        <v>93</v>
      </c>
      <c r="AT12" s="3" t="s">
        <v>95</v>
      </c>
      <c r="AU12" s="3" t="s">
        <v>96</v>
      </c>
      <c r="AV12" s="3" t="s">
        <v>95</v>
      </c>
      <c r="AW12" s="3" t="s">
        <v>96</v>
      </c>
      <c r="AX12" s="3" t="s">
        <v>143</v>
      </c>
      <c r="AY12" s="3" t="s">
        <v>95</v>
      </c>
      <c r="AZ12" s="3" t="s">
        <v>81</v>
      </c>
      <c r="BA12" s="3" t="s">
        <v>99</v>
      </c>
      <c r="BB12" s="3" t="s">
        <v>98</v>
      </c>
      <c r="BC12" s="3" t="s">
        <v>99</v>
      </c>
      <c r="BD12" s="3" t="s">
        <v>98</v>
      </c>
      <c r="BE12" s="3" t="s">
        <v>100</v>
      </c>
      <c r="BF12" s="3" t="s">
        <v>101</v>
      </c>
      <c r="BG12" s="3" t="s">
        <v>103</v>
      </c>
      <c r="BH12" s="3" t="s">
        <v>101</v>
      </c>
      <c r="BI12" s="3" t="s">
        <v>119</v>
      </c>
      <c r="BJ12" s="3" t="s">
        <v>81</v>
      </c>
      <c r="BK12" s="3" t="s">
        <v>101</v>
      </c>
      <c r="BL12" s="3" t="s">
        <v>104</v>
      </c>
      <c r="BM12" s="3" t="s">
        <v>105</v>
      </c>
      <c r="BN12" s="3" t="s">
        <v>104</v>
      </c>
      <c r="BO12" s="3" t="s">
        <v>105</v>
      </c>
      <c r="BP12" s="3" t="s">
        <v>105</v>
      </c>
      <c r="BQ12" s="3" t="s">
        <v>81</v>
      </c>
      <c r="BR12" s="3" t="s">
        <v>109</v>
      </c>
      <c r="BS12" s="3" t="s">
        <v>125</v>
      </c>
      <c r="BT12" s="3" t="s">
        <v>107</v>
      </c>
      <c r="BU12" s="3" t="s">
        <v>109</v>
      </c>
      <c r="BV12" s="3" t="s">
        <v>107</v>
      </c>
      <c r="BW12" s="3" t="s">
        <v>109</v>
      </c>
      <c r="BX12" s="5" cm="1">
        <f t="array" ref="BX12">SUMPRODUCT((D12:BW12=D$21:BW$21)*(D$21:BW$21&lt;&gt;""))</f>
        <v>21</v>
      </c>
      <c r="BY12" t="str">
        <f>Form_Responses[[#This Row],[Aquí ponga su nombre y apellido]]</f>
        <v xml:space="preserve">Paul Alvarez </v>
      </c>
    </row>
    <row r="13" spans="1:77" ht="22.5" customHeight="1" x14ac:dyDescent="0.25">
      <c r="A13" s="2">
        <v>46183.841521608796</v>
      </c>
      <c r="B13" s="3" t="s">
        <v>144</v>
      </c>
      <c r="C13" s="3" t="s">
        <v>145</v>
      </c>
      <c r="D13" s="3" t="s">
        <v>76</v>
      </c>
      <c r="E13" s="3" t="s">
        <v>77</v>
      </c>
      <c r="F13" s="3" t="s">
        <v>76</v>
      </c>
      <c r="G13" s="3" t="s">
        <v>112</v>
      </c>
      <c r="H13" s="3" t="s">
        <v>77</v>
      </c>
      <c r="I13" s="3" t="s">
        <v>113</v>
      </c>
      <c r="J13" s="3" t="s">
        <v>79</v>
      </c>
      <c r="K13" s="3" t="s">
        <v>80</v>
      </c>
      <c r="L13" s="3" t="s">
        <v>80</v>
      </c>
      <c r="M13" s="3" t="s">
        <v>79</v>
      </c>
      <c r="N13" s="3" t="s">
        <v>79</v>
      </c>
      <c r="O13" s="3" t="s">
        <v>131</v>
      </c>
      <c r="P13" s="3" t="s">
        <v>82</v>
      </c>
      <c r="Q13" s="3" t="s">
        <v>81</v>
      </c>
      <c r="R13" s="3" t="s">
        <v>83</v>
      </c>
      <c r="S13" s="3" t="s">
        <v>82</v>
      </c>
      <c r="T13" s="3" t="s">
        <v>82</v>
      </c>
      <c r="U13" s="3" t="s">
        <v>81</v>
      </c>
      <c r="V13" s="3" t="s">
        <v>81</v>
      </c>
      <c r="W13" s="3" t="s">
        <v>85</v>
      </c>
      <c r="X13" s="3" t="s">
        <v>116</v>
      </c>
      <c r="Y13" s="3" t="s">
        <v>84</v>
      </c>
      <c r="Z13" s="3" t="s">
        <v>116</v>
      </c>
      <c r="AA13" s="3" t="s">
        <v>81</v>
      </c>
      <c r="AB13" s="3" t="s">
        <v>146</v>
      </c>
      <c r="AC13" s="3" t="s">
        <v>87</v>
      </c>
      <c r="AD13" s="3" t="s">
        <v>88</v>
      </c>
      <c r="AE13" s="3" t="s">
        <v>87</v>
      </c>
      <c r="AF13" s="3" t="s">
        <v>146</v>
      </c>
      <c r="AG13" s="3" t="s">
        <v>88</v>
      </c>
      <c r="AH13" s="3" t="s">
        <v>91</v>
      </c>
      <c r="AI13" s="3" t="s">
        <v>90</v>
      </c>
      <c r="AJ13" s="3" t="s">
        <v>91</v>
      </c>
      <c r="AK13" s="3" t="s">
        <v>92</v>
      </c>
      <c r="AL13" s="3" t="s">
        <v>90</v>
      </c>
      <c r="AM13" s="3" t="s">
        <v>91</v>
      </c>
      <c r="AN13" s="3" t="s">
        <v>93</v>
      </c>
      <c r="AO13" s="3" t="s">
        <v>128</v>
      </c>
      <c r="AP13" s="3" t="s">
        <v>81</v>
      </c>
      <c r="AQ13" s="3" t="s">
        <v>118</v>
      </c>
      <c r="AR13" s="3" t="s">
        <v>128</v>
      </c>
      <c r="AS13" s="3" t="s">
        <v>93</v>
      </c>
      <c r="AT13" s="3" t="s">
        <v>95</v>
      </c>
      <c r="AU13" s="3" t="s">
        <v>81</v>
      </c>
      <c r="AV13" s="3" t="s">
        <v>95</v>
      </c>
      <c r="AW13" s="3" t="s">
        <v>96</v>
      </c>
      <c r="AX13" s="3" t="s">
        <v>81</v>
      </c>
      <c r="AY13" s="3" t="s">
        <v>95</v>
      </c>
      <c r="AZ13" s="3" t="s">
        <v>98</v>
      </c>
      <c r="BA13" s="3" t="s">
        <v>99</v>
      </c>
      <c r="BB13" s="3" t="s">
        <v>98</v>
      </c>
      <c r="BC13" s="3" t="s">
        <v>100</v>
      </c>
      <c r="BD13" s="3" t="s">
        <v>98</v>
      </c>
      <c r="BE13" s="3" t="s">
        <v>132</v>
      </c>
      <c r="BF13" s="3" t="s">
        <v>101</v>
      </c>
      <c r="BG13" s="3" t="s">
        <v>102</v>
      </c>
      <c r="BH13" s="3" t="s">
        <v>101</v>
      </c>
      <c r="BI13" s="3" t="s">
        <v>119</v>
      </c>
      <c r="BJ13" s="3" t="s">
        <v>103</v>
      </c>
      <c r="BK13" s="3" t="s">
        <v>101</v>
      </c>
      <c r="BL13" s="3" t="s">
        <v>104</v>
      </c>
      <c r="BM13" s="3" t="s">
        <v>105</v>
      </c>
      <c r="BN13" s="3" t="s">
        <v>104</v>
      </c>
      <c r="BO13" s="3" t="s">
        <v>105</v>
      </c>
      <c r="BP13" s="3" t="s">
        <v>104</v>
      </c>
      <c r="BQ13" s="3" t="s">
        <v>120</v>
      </c>
      <c r="BR13" s="3" t="s">
        <v>81</v>
      </c>
      <c r="BS13" s="3" t="s">
        <v>125</v>
      </c>
      <c r="BT13" s="3" t="s">
        <v>108</v>
      </c>
      <c r="BU13" s="3" t="s">
        <v>109</v>
      </c>
      <c r="BV13" s="3" t="s">
        <v>107</v>
      </c>
      <c r="BW13" s="3" t="s">
        <v>109</v>
      </c>
      <c r="BX13" s="5" cm="1">
        <f t="array" ref="BX13">SUMPRODUCT((D13:BW13=D$21:BW$21)*(D$21:BW$21&lt;&gt;""))</f>
        <v>22</v>
      </c>
      <c r="BY13" t="str">
        <f>Form_Responses[[#This Row],[Aquí ponga su nombre y apellido]]</f>
        <v>Pia Machado</v>
      </c>
    </row>
    <row r="14" spans="1:77" ht="22.5" customHeight="1" x14ac:dyDescent="0.25">
      <c r="A14" s="2">
        <v>46183.847526203703</v>
      </c>
      <c r="B14" s="3" t="s">
        <v>147</v>
      </c>
      <c r="C14" s="3" t="s">
        <v>161</v>
      </c>
      <c r="D14" s="3" t="s">
        <v>112</v>
      </c>
      <c r="E14" s="3" t="s">
        <v>81</v>
      </c>
      <c r="F14" s="3" t="s">
        <v>76</v>
      </c>
      <c r="G14" s="3" t="s">
        <v>81</v>
      </c>
      <c r="H14" s="3" t="s">
        <v>77</v>
      </c>
      <c r="I14" s="3" t="s">
        <v>81</v>
      </c>
      <c r="J14" s="3" t="s">
        <v>79</v>
      </c>
      <c r="K14" s="3" t="s">
        <v>80</v>
      </c>
      <c r="L14" s="3" t="s">
        <v>80</v>
      </c>
      <c r="M14" s="3" t="s">
        <v>79</v>
      </c>
      <c r="N14" s="3" t="s">
        <v>79</v>
      </c>
      <c r="O14" s="3" t="s">
        <v>114</v>
      </c>
      <c r="P14" s="3" t="s">
        <v>81</v>
      </c>
      <c r="Q14" s="3" t="s">
        <v>115</v>
      </c>
      <c r="R14" s="3" t="s">
        <v>83</v>
      </c>
      <c r="S14" s="3" t="s">
        <v>82</v>
      </c>
      <c r="T14" s="3" t="s">
        <v>82</v>
      </c>
      <c r="U14" s="3" t="s">
        <v>83</v>
      </c>
      <c r="V14" s="3" t="s">
        <v>84</v>
      </c>
      <c r="W14" s="3" t="s">
        <v>86</v>
      </c>
      <c r="X14" s="3" t="s">
        <v>116</v>
      </c>
      <c r="Y14" s="3" t="s">
        <v>81</v>
      </c>
      <c r="Z14" s="3" t="s">
        <v>116</v>
      </c>
      <c r="AA14" s="3" t="s">
        <v>81</v>
      </c>
      <c r="AB14" s="3" t="s">
        <v>88</v>
      </c>
      <c r="AC14" s="3" t="s">
        <v>87</v>
      </c>
      <c r="AD14" s="3" t="s">
        <v>88</v>
      </c>
      <c r="AE14" s="3" t="s">
        <v>87</v>
      </c>
      <c r="AF14" s="3" t="s">
        <v>89</v>
      </c>
      <c r="AG14" s="3" t="s">
        <v>81</v>
      </c>
      <c r="AH14" s="3" t="s">
        <v>91</v>
      </c>
      <c r="AI14" s="3" t="s">
        <v>90</v>
      </c>
      <c r="AJ14" s="3" t="s">
        <v>81</v>
      </c>
      <c r="AK14" s="3" t="s">
        <v>92</v>
      </c>
      <c r="AL14" s="3" t="s">
        <v>92</v>
      </c>
      <c r="AM14" s="3" t="s">
        <v>91</v>
      </c>
      <c r="AN14" s="3" t="s">
        <v>93</v>
      </c>
      <c r="AO14" s="3" t="s">
        <v>128</v>
      </c>
      <c r="AP14" s="3" t="s">
        <v>93</v>
      </c>
      <c r="AQ14" s="3" t="s">
        <v>94</v>
      </c>
      <c r="AR14" s="3" t="s">
        <v>81</v>
      </c>
      <c r="AS14" s="3" t="s">
        <v>93</v>
      </c>
      <c r="AT14" s="3" t="s">
        <v>95</v>
      </c>
      <c r="AU14" s="3" t="s">
        <v>96</v>
      </c>
      <c r="AV14" s="3" t="s">
        <v>95</v>
      </c>
      <c r="AW14" s="3" t="s">
        <v>96</v>
      </c>
      <c r="AX14" s="3" t="s">
        <v>97</v>
      </c>
      <c r="AY14" s="3" t="s">
        <v>95</v>
      </c>
      <c r="AZ14" s="3" t="s">
        <v>98</v>
      </c>
      <c r="BA14" s="3" t="s">
        <v>99</v>
      </c>
      <c r="BB14" s="3" t="s">
        <v>98</v>
      </c>
      <c r="BC14" s="3" t="s">
        <v>99</v>
      </c>
      <c r="BD14" s="3" t="s">
        <v>98</v>
      </c>
      <c r="BE14" s="3" t="s">
        <v>100</v>
      </c>
      <c r="BF14" s="3" t="s">
        <v>101</v>
      </c>
      <c r="BG14" s="3" t="s">
        <v>103</v>
      </c>
      <c r="BH14" s="3" t="s">
        <v>101</v>
      </c>
      <c r="BI14" s="3" t="s">
        <v>119</v>
      </c>
      <c r="BJ14" s="3" t="s">
        <v>119</v>
      </c>
      <c r="BK14" s="3" t="s">
        <v>101</v>
      </c>
      <c r="BL14" s="3" t="s">
        <v>104</v>
      </c>
      <c r="BM14" s="3" t="s">
        <v>105</v>
      </c>
      <c r="BN14" s="3" t="s">
        <v>104</v>
      </c>
      <c r="BO14" s="3" t="s">
        <v>105</v>
      </c>
      <c r="BP14" s="3" t="s">
        <v>104</v>
      </c>
      <c r="BQ14" s="3" t="s">
        <v>81</v>
      </c>
      <c r="BR14" s="3" t="s">
        <v>107</v>
      </c>
      <c r="BS14" s="3" t="s">
        <v>108</v>
      </c>
      <c r="BT14" s="3" t="s">
        <v>107</v>
      </c>
      <c r="BU14" s="3" t="s">
        <v>109</v>
      </c>
      <c r="BV14" s="3" t="s">
        <v>107</v>
      </c>
      <c r="BW14" s="3" t="s">
        <v>109</v>
      </c>
      <c r="BX14" s="5" cm="1">
        <f t="array" ref="BX14">SUMPRODUCT((D14:BW14=D$21:BW$21)*(D$21:BW$21&lt;&gt;""))</f>
        <v>23</v>
      </c>
      <c r="BY14" t="str">
        <f>Form_Responses[[#This Row],[Aquí ponga su nombre y apellido]]</f>
        <v>Yago Sayas</v>
      </c>
    </row>
    <row r="15" spans="1:77" ht="22.5" customHeight="1" x14ac:dyDescent="0.25">
      <c r="A15" s="2">
        <v>46183.849086759263</v>
      </c>
      <c r="B15" s="3" t="s">
        <v>148</v>
      </c>
      <c r="C15" s="3" t="s">
        <v>163</v>
      </c>
      <c r="D15" s="3" t="s">
        <v>112</v>
      </c>
      <c r="E15" s="3" t="s">
        <v>77</v>
      </c>
      <c r="F15" s="3" t="s">
        <v>81</v>
      </c>
      <c r="G15" s="3" t="s">
        <v>77</v>
      </c>
      <c r="H15" s="3" t="s">
        <v>77</v>
      </c>
      <c r="I15" s="3" t="s">
        <v>78</v>
      </c>
      <c r="J15" s="3" t="s">
        <v>81</v>
      </c>
      <c r="K15" s="3" t="s">
        <v>80</v>
      </c>
      <c r="L15" s="3" t="s">
        <v>80</v>
      </c>
      <c r="M15" s="3" t="s">
        <v>79</v>
      </c>
      <c r="N15" s="3" t="s">
        <v>80</v>
      </c>
      <c r="O15" s="3" t="s">
        <v>114</v>
      </c>
      <c r="P15" s="3" t="s">
        <v>82</v>
      </c>
      <c r="Q15" s="3" t="s">
        <v>115</v>
      </c>
      <c r="R15" s="3" t="s">
        <v>83</v>
      </c>
      <c r="S15" s="3" t="s">
        <v>82</v>
      </c>
      <c r="T15" s="3" t="s">
        <v>81</v>
      </c>
      <c r="U15" s="3" t="s">
        <v>83</v>
      </c>
      <c r="V15" s="3" t="s">
        <v>84</v>
      </c>
      <c r="W15" s="3" t="s">
        <v>85</v>
      </c>
      <c r="X15" s="3" t="s">
        <v>85</v>
      </c>
      <c r="Y15" s="3" t="s">
        <v>84</v>
      </c>
      <c r="Z15" s="3" t="s">
        <v>116</v>
      </c>
      <c r="AA15" s="3" t="s">
        <v>84</v>
      </c>
      <c r="AB15" s="3" t="s">
        <v>88</v>
      </c>
      <c r="AC15" s="3" t="s">
        <v>87</v>
      </c>
      <c r="AD15" s="3" t="s">
        <v>88</v>
      </c>
      <c r="AE15" s="3" t="s">
        <v>146</v>
      </c>
      <c r="AF15" s="3" t="s">
        <v>89</v>
      </c>
      <c r="AG15" s="3" t="s">
        <v>88</v>
      </c>
      <c r="AH15" s="3" t="s">
        <v>91</v>
      </c>
      <c r="AI15" s="3" t="s">
        <v>90</v>
      </c>
      <c r="AJ15" s="3" t="s">
        <v>90</v>
      </c>
      <c r="AK15" s="3" t="s">
        <v>149</v>
      </c>
      <c r="AL15" s="3" t="s">
        <v>81</v>
      </c>
      <c r="AM15" s="3" t="s">
        <v>91</v>
      </c>
      <c r="AN15" s="3" t="s">
        <v>94</v>
      </c>
      <c r="AO15" s="3" t="s">
        <v>81</v>
      </c>
      <c r="AP15" s="3" t="s">
        <v>128</v>
      </c>
      <c r="AQ15" s="3" t="s">
        <v>118</v>
      </c>
      <c r="AR15" s="3" t="s">
        <v>94</v>
      </c>
      <c r="AS15" s="3" t="s">
        <v>81</v>
      </c>
      <c r="AT15" s="3" t="s">
        <v>95</v>
      </c>
      <c r="AU15" s="3" t="s">
        <v>96</v>
      </c>
      <c r="AV15" s="3" t="s">
        <v>95</v>
      </c>
      <c r="AW15" s="3" t="s">
        <v>96</v>
      </c>
      <c r="AX15" s="3" t="s">
        <v>81</v>
      </c>
      <c r="AY15" s="3" t="s">
        <v>95</v>
      </c>
      <c r="AZ15" s="3" t="s">
        <v>98</v>
      </c>
      <c r="BA15" s="3" t="s">
        <v>99</v>
      </c>
      <c r="BB15" s="3" t="s">
        <v>81</v>
      </c>
      <c r="BC15" s="3" t="s">
        <v>99</v>
      </c>
      <c r="BD15" s="3" t="s">
        <v>98</v>
      </c>
      <c r="BE15" s="3" t="s">
        <v>132</v>
      </c>
      <c r="BF15" s="3" t="s">
        <v>101</v>
      </c>
      <c r="BG15" s="3" t="s">
        <v>102</v>
      </c>
      <c r="BH15" s="3" t="s">
        <v>101</v>
      </c>
      <c r="BI15" s="3" t="s">
        <v>119</v>
      </c>
      <c r="BJ15" s="3" t="s">
        <v>81</v>
      </c>
      <c r="BK15" s="3" t="s">
        <v>101</v>
      </c>
      <c r="BL15" s="3" t="s">
        <v>104</v>
      </c>
      <c r="BM15" s="3" t="s">
        <v>105</v>
      </c>
      <c r="BN15" s="3" t="s">
        <v>104</v>
      </c>
      <c r="BO15" s="3" t="s">
        <v>106</v>
      </c>
      <c r="BP15" s="3" t="s">
        <v>104</v>
      </c>
      <c r="BQ15" s="3" t="s">
        <v>81</v>
      </c>
      <c r="BR15" s="3" t="s">
        <v>107</v>
      </c>
      <c r="BS15" s="3" t="s">
        <v>108</v>
      </c>
      <c r="BT15" s="3" t="s">
        <v>81</v>
      </c>
      <c r="BU15" s="3" t="s">
        <v>81</v>
      </c>
      <c r="BV15" s="3" t="s">
        <v>107</v>
      </c>
      <c r="BW15" s="3" t="s">
        <v>109</v>
      </c>
      <c r="BX15" s="5" cm="1">
        <f t="array" ref="BX15">SUMPRODUCT((D15:BW15=D$21:BW$21)*(D$21:BW$21&lt;&gt;""))</f>
        <v>23</v>
      </c>
      <c r="BY15" t="str">
        <f>Form_Responses[[#This Row],[Aquí ponga su nombre y apellido]]</f>
        <v xml:space="preserve">Valentino Russo Suarez </v>
      </c>
    </row>
    <row r="16" spans="1:77" ht="22.5" customHeight="1" x14ac:dyDescent="0.25">
      <c r="A16" s="2">
        <v>46183.879928333336</v>
      </c>
      <c r="B16" s="3" t="s">
        <v>150</v>
      </c>
      <c r="C16" s="3" t="s">
        <v>151</v>
      </c>
      <c r="D16" s="3" t="s">
        <v>112</v>
      </c>
      <c r="E16" s="3" t="s">
        <v>77</v>
      </c>
      <c r="F16" s="3" t="s">
        <v>81</v>
      </c>
      <c r="G16" s="3" t="s">
        <v>81</v>
      </c>
      <c r="H16" s="3" t="s">
        <v>77</v>
      </c>
      <c r="I16" s="3" t="s">
        <v>113</v>
      </c>
      <c r="J16" s="3" t="s">
        <v>79</v>
      </c>
      <c r="K16" s="3" t="s">
        <v>80</v>
      </c>
      <c r="L16" s="3" t="s">
        <v>80</v>
      </c>
      <c r="M16" s="3" t="s">
        <v>79</v>
      </c>
      <c r="N16" s="3" t="s">
        <v>81</v>
      </c>
      <c r="O16" s="3" t="s">
        <v>81</v>
      </c>
      <c r="P16" s="3" t="s">
        <v>82</v>
      </c>
      <c r="Q16" s="3" t="s">
        <v>115</v>
      </c>
      <c r="R16" s="3" t="s">
        <v>83</v>
      </c>
      <c r="S16" s="3" t="s">
        <v>82</v>
      </c>
      <c r="T16" s="3" t="s">
        <v>82</v>
      </c>
      <c r="U16" s="3" t="s">
        <v>81</v>
      </c>
      <c r="V16" s="3" t="s">
        <v>84</v>
      </c>
      <c r="W16" s="3" t="s">
        <v>81</v>
      </c>
      <c r="X16" s="3" t="s">
        <v>116</v>
      </c>
      <c r="Y16" s="3" t="s">
        <v>81</v>
      </c>
      <c r="Z16" s="3" t="s">
        <v>86</v>
      </c>
      <c r="AA16" s="3" t="s">
        <v>81</v>
      </c>
      <c r="AB16" s="3" t="s">
        <v>88</v>
      </c>
      <c r="AC16" s="3" t="s">
        <v>81</v>
      </c>
      <c r="AD16" s="3" t="s">
        <v>88</v>
      </c>
      <c r="AE16" s="3" t="s">
        <v>87</v>
      </c>
      <c r="AF16" s="3" t="s">
        <v>81</v>
      </c>
      <c r="AG16" s="3" t="s">
        <v>81</v>
      </c>
      <c r="AH16" s="3" t="s">
        <v>91</v>
      </c>
      <c r="AI16" s="3" t="s">
        <v>90</v>
      </c>
      <c r="AJ16" s="3" t="s">
        <v>91</v>
      </c>
      <c r="AK16" s="3" t="s">
        <v>92</v>
      </c>
      <c r="AL16" s="3" t="s">
        <v>81</v>
      </c>
      <c r="AM16" s="3" t="s">
        <v>91</v>
      </c>
      <c r="AN16" s="3" t="s">
        <v>93</v>
      </c>
      <c r="AO16" s="3" t="s">
        <v>81</v>
      </c>
      <c r="AP16" s="3" t="s">
        <v>93</v>
      </c>
      <c r="AQ16" s="3" t="s">
        <v>94</v>
      </c>
      <c r="AR16" s="3" t="s">
        <v>94</v>
      </c>
      <c r="AS16" s="3" t="s">
        <v>93</v>
      </c>
      <c r="AT16" s="3" t="s">
        <v>95</v>
      </c>
      <c r="AU16" s="3" t="s">
        <v>96</v>
      </c>
      <c r="AV16" s="3" t="s">
        <v>95</v>
      </c>
      <c r="AW16" s="3" t="s">
        <v>96</v>
      </c>
      <c r="AX16" s="3" t="s">
        <v>97</v>
      </c>
      <c r="AY16" s="3" t="s">
        <v>81</v>
      </c>
      <c r="AZ16" s="3" t="s">
        <v>98</v>
      </c>
      <c r="BA16" s="3" t="s">
        <v>99</v>
      </c>
      <c r="BB16" s="3" t="s">
        <v>98</v>
      </c>
      <c r="BC16" s="3" t="s">
        <v>99</v>
      </c>
      <c r="BD16" s="3" t="s">
        <v>98</v>
      </c>
      <c r="BE16" s="3" t="s">
        <v>100</v>
      </c>
      <c r="BF16" s="3" t="s">
        <v>101</v>
      </c>
      <c r="BG16" s="3" t="s">
        <v>103</v>
      </c>
      <c r="BH16" s="3" t="s">
        <v>101</v>
      </c>
      <c r="BI16" s="3" t="s">
        <v>119</v>
      </c>
      <c r="BJ16" s="3" t="s">
        <v>103</v>
      </c>
      <c r="BK16" s="3" t="s">
        <v>101</v>
      </c>
      <c r="BL16" s="3" t="s">
        <v>104</v>
      </c>
      <c r="BM16" s="3" t="s">
        <v>105</v>
      </c>
      <c r="BN16" s="3" t="s">
        <v>104</v>
      </c>
      <c r="BO16" s="3" t="s">
        <v>105</v>
      </c>
      <c r="BP16" s="3" t="s">
        <v>104</v>
      </c>
      <c r="BQ16" s="3" t="s">
        <v>81</v>
      </c>
      <c r="BR16" s="3" t="s">
        <v>107</v>
      </c>
      <c r="BS16" s="3" t="s">
        <v>81</v>
      </c>
      <c r="BT16" s="3" t="s">
        <v>107</v>
      </c>
      <c r="BU16" s="3" t="s">
        <v>109</v>
      </c>
      <c r="BV16" s="3" t="s">
        <v>107</v>
      </c>
      <c r="BW16" s="3" t="s">
        <v>109</v>
      </c>
      <c r="BX16" s="5" cm="1">
        <f t="array" ref="BX16">SUMPRODUCT((D16:BW16=D$21:BW$21)*(D$21:BW$21&lt;&gt;""))</f>
        <v>25</v>
      </c>
      <c r="BY16" t="str">
        <f>Form_Responses[[#This Row],[Aquí ponga su nombre y apellido]]</f>
        <v>Manuel Proserpio</v>
      </c>
    </row>
    <row r="17" spans="1:77" ht="22.5" customHeight="1" x14ac:dyDescent="0.25">
      <c r="A17" s="2">
        <v>46183.921634039347</v>
      </c>
      <c r="B17" s="3" t="s">
        <v>152</v>
      </c>
      <c r="C17" s="3" t="s">
        <v>162</v>
      </c>
      <c r="D17" s="3" t="s">
        <v>76</v>
      </c>
      <c r="E17" s="7" t="s">
        <v>77</v>
      </c>
      <c r="F17" s="3" t="s">
        <v>81</v>
      </c>
      <c r="G17" s="3" t="s">
        <v>77</v>
      </c>
      <c r="H17" s="3" t="s">
        <v>77</v>
      </c>
      <c r="I17" s="3" t="s">
        <v>113</v>
      </c>
      <c r="J17" s="3" t="s">
        <v>81</v>
      </c>
      <c r="K17" s="3" t="s">
        <v>80</v>
      </c>
      <c r="L17" s="3" t="s">
        <v>80</v>
      </c>
      <c r="M17" s="3" t="s">
        <v>79</v>
      </c>
      <c r="N17" s="3" t="s">
        <v>81</v>
      </c>
      <c r="O17" s="3" t="s">
        <v>81</v>
      </c>
      <c r="P17" s="3" t="s">
        <v>83</v>
      </c>
      <c r="Q17" s="3" t="s">
        <v>115</v>
      </c>
      <c r="R17" s="3" t="s">
        <v>83</v>
      </c>
      <c r="S17" s="3" t="s">
        <v>82</v>
      </c>
      <c r="T17" s="3" t="s">
        <v>82</v>
      </c>
      <c r="U17" s="3" t="s">
        <v>83</v>
      </c>
      <c r="V17" s="3" t="s">
        <v>84</v>
      </c>
      <c r="W17" s="3" t="s">
        <v>86</v>
      </c>
      <c r="X17" s="3" t="s">
        <v>116</v>
      </c>
      <c r="Y17" s="3" t="s">
        <v>84</v>
      </c>
      <c r="Z17" s="3" t="s">
        <v>86</v>
      </c>
      <c r="AA17" s="3" t="s">
        <v>84</v>
      </c>
      <c r="AB17" s="3" t="s">
        <v>88</v>
      </c>
      <c r="AC17" s="3" t="s">
        <v>87</v>
      </c>
      <c r="AD17" s="3" t="s">
        <v>88</v>
      </c>
      <c r="AE17" s="3" t="s">
        <v>87</v>
      </c>
      <c r="AF17" s="3" t="s">
        <v>81</v>
      </c>
      <c r="AG17" s="3" t="s">
        <v>81</v>
      </c>
      <c r="AH17" s="3" t="s">
        <v>81</v>
      </c>
      <c r="AI17" s="3" t="s">
        <v>90</v>
      </c>
      <c r="AJ17" s="3" t="s">
        <v>91</v>
      </c>
      <c r="AK17" s="3" t="s">
        <v>92</v>
      </c>
      <c r="AL17" s="3" t="s">
        <v>90</v>
      </c>
      <c r="AM17" s="3" t="s">
        <v>81</v>
      </c>
      <c r="AN17" s="3" t="s">
        <v>93</v>
      </c>
      <c r="AO17" s="3" t="s">
        <v>118</v>
      </c>
      <c r="AP17" s="3" t="s">
        <v>93</v>
      </c>
      <c r="AQ17" s="3" t="s">
        <v>81</v>
      </c>
      <c r="AR17" s="3" t="s">
        <v>94</v>
      </c>
      <c r="AS17" s="3" t="s">
        <v>93</v>
      </c>
      <c r="AT17" s="3" t="s">
        <v>95</v>
      </c>
      <c r="AU17" s="3" t="s">
        <v>96</v>
      </c>
      <c r="AV17" s="3" t="s">
        <v>95</v>
      </c>
      <c r="AW17" s="3" t="s">
        <v>96</v>
      </c>
      <c r="AX17" s="3" t="s">
        <v>97</v>
      </c>
      <c r="AY17" s="3" t="s">
        <v>81</v>
      </c>
      <c r="AZ17" s="3" t="s">
        <v>81</v>
      </c>
      <c r="BA17" s="3" t="s">
        <v>99</v>
      </c>
      <c r="BB17" s="3" t="s">
        <v>98</v>
      </c>
      <c r="BC17" s="3" t="s">
        <v>99</v>
      </c>
      <c r="BD17" s="3" t="s">
        <v>98</v>
      </c>
      <c r="BE17" s="3" t="s">
        <v>100</v>
      </c>
      <c r="BF17" s="3" t="s">
        <v>101</v>
      </c>
      <c r="BG17" s="3" t="s">
        <v>81</v>
      </c>
      <c r="BH17" s="3" t="s">
        <v>101</v>
      </c>
      <c r="BI17" s="3" t="s">
        <v>119</v>
      </c>
      <c r="BJ17" s="3" t="s">
        <v>103</v>
      </c>
      <c r="BK17" s="3" t="s">
        <v>101</v>
      </c>
      <c r="BL17" s="3" t="s">
        <v>104</v>
      </c>
      <c r="BM17" s="3" t="s">
        <v>105</v>
      </c>
      <c r="BN17" s="3" t="s">
        <v>104</v>
      </c>
      <c r="BO17" s="3" t="s">
        <v>105</v>
      </c>
      <c r="BP17" s="3" t="s">
        <v>104</v>
      </c>
      <c r="BQ17" s="3" t="s">
        <v>81</v>
      </c>
      <c r="BR17" s="3" t="s">
        <v>81</v>
      </c>
      <c r="BS17" s="3" t="s">
        <v>81</v>
      </c>
      <c r="BT17" s="3" t="s">
        <v>107</v>
      </c>
      <c r="BU17" s="3" t="s">
        <v>109</v>
      </c>
      <c r="BV17" s="3" t="s">
        <v>107</v>
      </c>
      <c r="BW17" s="3" t="s">
        <v>81</v>
      </c>
      <c r="BX17" s="5" cm="1">
        <f t="array" ref="BX17">SUMPRODUCT((D17:BW17=D$21:BW$21)*(D$21:BW$21&lt;&gt;""))</f>
        <v>22</v>
      </c>
      <c r="BY17" t="str">
        <f>Form_Responses[[#This Row],[Aquí ponga su nombre y apellido]]</f>
        <v>Ian Findlay</v>
      </c>
    </row>
    <row r="18" spans="1:77" ht="22.5" customHeight="1" x14ac:dyDescent="0.25">
      <c r="A18" s="2">
        <v>46184.371469907404</v>
      </c>
      <c r="B18" s="3" t="s">
        <v>153</v>
      </c>
      <c r="C18" s="3" t="s">
        <v>164</v>
      </c>
      <c r="D18" s="3" t="s">
        <v>76</v>
      </c>
      <c r="E18" s="3" t="s">
        <v>77</v>
      </c>
      <c r="F18" s="3" t="s">
        <v>76</v>
      </c>
      <c r="G18" s="3" t="s">
        <v>77</v>
      </c>
      <c r="H18" s="3" t="s">
        <v>81</v>
      </c>
      <c r="I18" s="3" t="s">
        <v>81</v>
      </c>
      <c r="J18" s="3" t="s">
        <v>79</v>
      </c>
      <c r="K18" s="3" t="s">
        <v>80</v>
      </c>
      <c r="L18" s="3" t="s">
        <v>80</v>
      </c>
      <c r="M18" s="3" t="s">
        <v>79</v>
      </c>
      <c r="N18" s="3" t="s">
        <v>79</v>
      </c>
      <c r="O18" s="3" t="s">
        <v>131</v>
      </c>
      <c r="P18" s="3" t="s">
        <v>83</v>
      </c>
      <c r="Q18" s="3" t="s">
        <v>154</v>
      </c>
      <c r="R18" s="3" t="s">
        <v>83</v>
      </c>
      <c r="S18" s="3" t="s">
        <v>82</v>
      </c>
      <c r="T18" s="3" t="s">
        <v>82</v>
      </c>
      <c r="U18" s="3" t="s">
        <v>83</v>
      </c>
      <c r="V18" s="3" t="s">
        <v>84</v>
      </c>
      <c r="W18" s="3" t="s">
        <v>85</v>
      </c>
      <c r="X18" s="3" t="s">
        <v>116</v>
      </c>
      <c r="Y18" s="3" t="s">
        <v>84</v>
      </c>
      <c r="Z18" s="3" t="s">
        <v>116</v>
      </c>
      <c r="AA18" s="3" t="s">
        <v>84</v>
      </c>
      <c r="AB18" s="3" t="s">
        <v>88</v>
      </c>
      <c r="AC18" s="3" t="s">
        <v>87</v>
      </c>
      <c r="AD18" s="3" t="s">
        <v>88</v>
      </c>
      <c r="AE18" s="3" t="s">
        <v>87</v>
      </c>
      <c r="AF18" s="3" t="s">
        <v>146</v>
      </c>
      <c r="AG18" s="3" t="s">
        <v>87</v>
      </c>
      <c r="AH18" s="3" t="s">
        <v>117</v>
      </c>
      <c r="AI18" s="3" t="s">
        <v>90</v>
      </c>
      <c r="AJ18" s="3" t="s">
        <v>91</v>
      </c>
      <c r="AK18" s="3" t="s">
        <v>92</v>
      </c>
      <c r="AL18" s="3" t="s">
        <v>92</v>
      </c>
      <c r="AM18" s="3" t="s">
        <v>91</v>
      </c>
      <c r="AN18" s="3" t="s">
        <v>93</v>
      </c>
      <c r="AO18" s="3" t="s">
        <v>118</v>
      </c>
      <c r="AP18" s="3" t="s">
        <v>93</v>
      </c>
      <c r="AQ18" s="3" t="s">
        <v>94</v>
      </c>
      <c r="AR18" s="3" t="s">
        <v>128</v>
      </c>
      <c r="AS18" s="3" t="s">
        <v>93</v>
      </c>
      <c r="AT18" s="3" t="s">
        <v>95</v>
      </c>
      <c r="AU18" s="3" t="s">
        <v>96</v>
      </c>
      <c r="AV18" s="3" t="s">
        <v>95</v>
      </c>
      <c r="AW18" s="3" t="s">
        <v>96</v>
      </c>
      <c r="AX18" s="3" t="s">
        <v>97</v>
      </c>
      <c r="AY18" s="3" t="s">
        <v>81</v>
      </c>
      <c r="AZ18" s="3" t="s">
        <v>98</v>
      </c>
      <c r="BA18" s="3" t="s">
        <v>99</v>
      </c>
      <c r="BB18" s="3" t="s">
        <v>98</v>
      </c>
      <c r="BC18" s="3" t="s">
        <v>100</v>
      </c>
      <c r="BD18" s="3" t="s">
        <v>98</v>
      </c>
      <c r="BE18" s="3" t="s">
        <v>100</v>
      </c>
      <c r="BF18" s="3" t="s">
        <v>101</v>
      </c>
      <c r="BG18" s="3" t="s">
        <v>103</v>
      </c>
      <c r="BH18" s="3" t="s">
        <v>101</v>
      </c>
      <c r="BI18" s="3" t="s">
        <v>119</v>
      </c>
      <c r="BJ18" s="3" t="s">
        <v>119</v>
      </c>
      <c r="BK18" s="3" t="s">
        <v>101</v>
      </c>
      <c r="BL18" s="3" t="s">
        <v>104</v>
      </c>
      <c r="BM18" s="3" t="s">
        <v>105</v>
      </c>
      <c r="BN18" s="3" t="s">
        <v>104</v>
      </c>
      <c r="BO18" s="3" t="s">
        <v>105</v>
      </c>
      <c r="BP18" s="3" t="s">
        <v>104</v>
      </c>
      <c r="BQ18" s="3" t="s">
        <v>120</v>
      </c>
      <c r="BR18" s="3" t="s">
        <v>109</v>
      </c>
      <c r="BS18" s="3" t="s">
        <v>108</v>
      </c>
      <c r="BT18" s="3" t="s">
        <v>107</v>
      </c>
      <c r="BU18" s="3" t="s">
        <v>109</v>
      </c>
      <c r="BV18" s="3" t="s">
        <v>107</v>
      </c>
      <c r="BW18" s="3" t="s">
        <v>109</v>
      </c>
      <c r="BX18" s="5" cm="1">
        <f t="array" ref="BX18">SUMPRODUCT((D18:BW18=D$21:BW$21)*(D$21:BW$21&lt;&gt;""))</f>
        <v>23</v>
      </c>
      <c r="BY18" t="str">
        <f>Form_Responses[[#This Row],[Aquí ponga su nombre y apellido]]</f>
        <v xml:space="preserve">Danilo Giacobini </v>
      </c>
    </row>
    <row r="19" spans="1:77" ht="22.5" customHeight="1" x14ac:dyDescent="0.25">
      <c r="A19" s="2">
        <v>46184.451000555557</v>
      </c>
      <c r="B19" s="3" t="s">
        <v>155</v>
      </c>
      <c r="C19" s="3" t="s">
        <v>156</v>
      </c>
      <c r="D19" s="3" t="s">
        <v>112</v>
      </c>
      <c r="E19" s="3" t="s">
        <v>77</v>
      </c>
      <c r="F19" s="3" t="s">
        <v>78</v>
      </c>
      <c r="G19" s="3" t="s">
        <v>112</v>
      </c>
      <c r="H19" s="3" t="s">
        <v>77</v>
      </c>
      <c r="I19" s="3" t="s">
        <v>81</v>
      </c>
      <c r="J19" s="3" t="s">
        <v>79</v>
      </c>
      <c r="K19" s="3" t="s">
        <v>80</v>
      </c>
      <c r="L19" s="3" t="s">
        <v>81</v>
      </c>
      <c r="M19" s="3" t="s">
        <v>79</v>
      </c>
      <c r="N19" s="3" t="s">
        <v>81</v>
      </c>
      <c r="O19" s="3" t="s">
        <v>114</v>
      </c>
      <c r="P19" s="3" t="s">
        <v>82</v>
      </c>
      <c r="Q19" s="3" t="s">
        <v>115</v>
      </c>
      <c r="R19" s="3" t="s">
        <v>81</v>
      </c>
      <c r="S19" s="3" t="s">
        <v>82</v>
      </c>
      <c r="T19" s="3" t="s">
        <v>81</v>
      </c>
      <c r="U19" s="3" t="s">
        <v>83</v>
      </c>
      <c r="V19" s="3" t="s">
        <v>81</v>
      </c>
      <c r="W19" s="3" t="s">
        <v>85</v>
      </c>
      <c r="X19" s="3" t="s">
        <v>116</v>
      </c>
      <c r="Y19" s="3" t="s">
        <v>84</v>
      </c>
      <c r="Z19" s="3" t="s">
        <v>116</v>
      </c>
      <c r="AA19" s="3" t="s">
        <v>84</v>
      </c>
      <c r="AB19" s="3" t="s">
        <v>88</v>
      </c>
      <c r="AC19" s="3" t="s">
        <v>81</v>
      </c>
      <c r="AD19" s="3" t="s">
        <v>88</v>
      </c>
      <c r="AE19" s="3" t="s">
        <v>87</v>
      </c>
      <c r="AF19" s="3" t="s">
        <v>89</v>
      </c>
      <c r="AG19" s="3" t="s">
        <v>81</v>
      </c>
      <c r="AH19" s="3" t="s">
        <v>91</v>
      </c>
      <c r="AI19" s="3" t="s">
        <v>90</v>
      </c>
      <c r="AJ19" s="3" t="s">
        <v>91</v>
      </c>
      <c r="AK19" s="3" t="s">
        <v>92</v>
      </c>
      <c r="AL19" s="3" t="s">
        <v>92</v>
      </c>
      <c r="AM19" s="3" t="s">
        <v>91</v>
      </c>
      <c r="AN19" s="3" t="s">
        <v>93</v>
      </c>
      <c r="AO19" s="3" t="s">
        <v>128</v>
      </c>
      <c r="AP19" s="3" t="s">
        <v>93</v>
      </c>
      <c r="AQ19" s="3" t="s">
        <v>94</v>
      </c>
      <c r="AR19" s="3" t="s">
        <v>128</v>
      </c>
      <c r="AS19" s="3" t="s">
        <v>93</v>
      </c>
      <c r="AT19" s="3" t="s">
        <v>95</v>
      </c>
      <c r="AU19" s="3" t="s">
        <v>81</v>
      </c>
      <c r="AV19" s="3" t="s">
        <v>95</v>
      </c>
      <c r="AW19" s="3" t="s">
        <v>96</v>
      </c>
      <c r="AX19" s="3" t="s">
        <v>97</v>
      </c>
      <c r="AY19" s="3" t="s">
        <v>96</v>
      </c>
      <c r="AZ19" s="3" t="s">
        <v>81</v>
      </c>
      <c r="BA19" s="3" t="s">
        <v>99</v>
      </c>
      <c r="BB19" s="3" t="s">
        <v>98</v>
      </c>
      <c r="BC19" s="3" t="s">
        <v>100</v>
      </c>
      <c r="BD19" s="3" t="s">
        <v>98</v>
      </c>
      <c r="BE19" s="3" t="s">
        <v>100</v>
      </c>
      <c r="BF19" s="3" t="s">
        <v>101</v>
      </c>
      <c r="BG19" s="3" t="s">
        <v>103</v>
      </c>
      <c r="BH19" s="3" t="s">
        <v>101</v>
      </c>
      <c r="BI19" s="3" t="s">
        <v>119</v>
      </c>
      <c r="BJ19" s="3" t="s">
        <v>81</v>
      </c>
      <c r="BK19" s="3" t="s">
        <v>101</v>
      </c>
      <c r="BL19" s="3" t="s">
        <v>104</v>
      </c>
      <c r="BM19" s="3" t="s">
        <v>105</v>
      </c>
      <c r="BN19" s="3" t="s">
        <v>104</v>
      </c>
      <c r="BO19" s="3" t="s">
        <v>105</v>
      </c>
      <c r="BP19" s="3" t="s">
        <v>81</v>
      </c>
      <c r="BQ19" s="3" t="s">
        <v>120</v>
      </c>
      <c r="BR19" s="3" t="s">
        <v>107</v>
      </c>
      <c r="BS19" s="3" t="s">
        <v>108</v>
      </c>
      <c r="BT19" s="3" t="s">
        <v>107</v>
      </c>
      <c r="BU19" s="3" t="s">
        <v>109</v>
      </c>
      <c r="BV19" s="3" t="s">
        <v>107</v>
      </c>
      <c r="BW19" s="3" t="s">
        <v>109</v>
      </c>
      <c r="BX19" s="5" cm="1">
        <f t="array" ref="BX19">SUMPRODUCT((D19:BW19=D$21:BW$21)*(D$21:BW$21&lt;&gt;""))</f>
        <v>25</v>
      </c>
      <c r="BY19" t="str">
        <f>Form_Responses[[#This Row],[Aquí ponga su nombre y apellido]]</f>
        <v>Agustin Dulcet</v>
      </c>
    </row>
    <row r="21" spans="1:77" ht="15.75" customHeight="1" x14ac:dyDescent="0.2">
      <c r="A21" s="6" t="s">
        <v>160</v>
      </c>
      <c r="D21" s="6" t="s">
        <v>112</v>
      </c>
      <c r="E21" s="6" t="s">
        <v>77</v>
      </c>
      <c r="F21" s="6" t="s">
        <v>81</v>
      </c>
      <c r="G21" s="6" t="s">
        <v>112</v>
      </c>
      <c r="J21" s="6" t="s">
        <v>81</v>
      </c>
      <c r="K21" s="6" t="s">
        <v>81</v>
      </c>
      <c r="L21" s="6" t="s">
        <v>80</v>
      </c>
      <c r="M21" s="6" t="s">
        <v>79</v>
      </c>
      <c r="P21" s="6" t="s">
        <v>81</v>
      </c>
      <c r="Q21" s="6" t="s">
        <v>115</v>
      </c>
      <c r="R21" s="6" t="s">
        <v>83</v>
      </c>
      <c r="S21" s="6" t="s">
        <v>82</v>
      </c>
      <c r="V21" s="6" t="s">
        <v>116</v>
      </c>
      <c r="W21" s="6" t="s">
        <v>85</v>
      </c>
      <c r="X21" s="6" t="s">
        <v>116</v>
      </c>
      <c r="Y21" s="6" t="s">
        <v>84</v>
      </c>
      <c r="AB21" s="6" t="s">
        <v>88</v>
      </c>
      <c r="AC21" s="6" t="s">
        <v>89</v>
      </c>
      <c r="AD21" s="6" t="s">
        <v>88</v>
      </c>
      <c r="AE21" s="6" t="s">
        <v>81</v>
      </c>
      <c r="AH21" s="6" t="s">
        <v>81</v>
      </c>
      <c r="AI21" s="6" t="s">
        <v>90</v>
      </c>
      <c r="AJ21" s="6" t="s">
        <v>91</v>
      </c>
      <c r="AK21" s="6" t="s">
        <v>92</v>
      </c>
      <c r="AN21" s="6" t="s">
        <v>81</v>
      </c>
      <c r="AO21" s="6" t="s">
        <v>81</v>
      </c>
      <c r="AP21" s="6" t="s">
        <v>81</v>
      </c>
      <c r="AQ21" s="6" t="s">
        <v>94</v>
      </c>
      <c r="AT21" s="6" t="s">
        <v>81</v>
      </c>
      <c r="AU21" s="6" t="s">
        <v>81</v>
      </c>
      <c r="AV21" t="s">
        <v>95</v>
      </c>
      <c r="AW21" t="s">
        <v>81</v>
      </c>
      <c r="AZ21" s="6" t="s">
        <v>98</v>
      </c>
      <c r="BA21" s="6" t="s">
        <v>99</v>
      </c>
      <c r="BB21" s="6" t="s">
        <v>98</v>
      </c>
      <c r="BF21" s="6" t="s">
        <v>101</v>
      </c>
      <c r="BG21" s="6" t="s">
        <v>103</v>
      </c>
      <c r="BH21" t="s">
        <v>101</v>
      </c>
      <c r="BL21" s="6" t="s">
        <v>81</v>
      </c>
      <c r="BM21" s="6" t="s">
        <v>105</v>
      </c>
      <c r="BR21" s="6" t="s">
        <v>107</v>
      </c>
      <c r="BS21" s="6" t="s">
        <v>108</v>
      </c>
    </row>
  </sheetData>
  <conditionalFormatting sqref="D2:D19">
    <cfRule type="cellIs" dxfId="82" priority="46" operator="equal">
      <formula>$D$21</formula>
    </cfRule>
    <cfRule type="expression" priority="45">
      <formula>$D$22</formula>
    </cfRule>
  </conditionalFormatting>
  <conditionalFormatting sqref="E2:E19">
    <cfRule type="cellIs" dxfId="81" priority="44" operator="equal">
      <formula>$E$21</formula>
    </cfRule>
  </conditionalFormatting>
  <conditionalFormatting sqref="F2:F19">
    <cfRule type="cellIs" dxfId="80" priority="43" operator="equal">
      <formula>$F$21</formula>
    </cfRule>
  </conditionalFormatting>
  <conditionalFormatting sqref="G2:G19">
    <cfRule type="cellIs" dxfId="79" priority="42" operator="equal">
      <formula>$G$21</formula>
    </cfRule>
  </conditionalFormatting>
  <conditionalFormatting sqref="J2:J19">
    <cfRule type="cellIs" dxfId="78" priority="41" operator="equal">
      <formula>$J$21</formula>
    </cfRule>
  </conditionalFormatting>
  <conditionalFormatting sqref="K2:K19">
    <cfRule type="cellIs" dxfId="77" priority="40" operator="equal">
      <formula>$K$21</formula>
    </cfRule>
  </conditionalFormatting>
  <conditionalFormatting sqref="L2:L19">
    <cfRule type="cellIs" dxfId="76" priority="39" operator="equal">
      <formula>$L$21</formula>
    </cfRule>
  </conditionalFormatting>
  <conditionalFormatting sqref="M2:M19">
    <cfRule type="cellIs" dxfId="75" priority="38" operator="equal">
      <formula>$M$21</formula>
    </cfRule>
  </conditionalFormatting>
  <conditionalFormatting sqref="P2:P19">
    <cfRule type="cellIs" dxfId="74" priority="37" operator="equal">
      <formula>$P$21</formula>
    </cfRule>
  </conditionalFormatting>
  <conditionalFormatting sqref="Q2:Q19">
    <cfRule type="cellIs" dxfId="73" priority="35" operator="equal">
      <formula>$Q$21</formula>
    </cfRule>
  </conditionalFormatting>
  <conditionalFormatting sqref="R2:R19">
    <cfRule type="cellIs" dxfId="72" priority="34" operator="equal">
      <formula>$R$21</formula>
    </cfRule>
  </conditionalFormatting>
  <conditionalFormatting sqref="S2:S19">
    <cfRule type="cellIs" dxfId="71" priority="36" operator="equal">
      <formula>$S$21</formula>
    </cfRule>
  </conditionalFormatting>
  <conditionalFormatting sqref="V2:V19">
    <cfRule type="cellIs" dxfId="70" priority="33" operator="equal">
      <formula>$V$21</formula>
    </cfRule>
  </conditionalFormatting>
  <conditionalFormatting sqref="W2:W19">
    <cfRule type="cellIs" dxfId="69" priority="32" operator="equal">
      <formula>$W$21</formula>
    </cfRule>
  </conditionalFormatting>
  <conditionalFormatting sqref="X2:X19">
    <cfRule type="cellIs" dxfId="68" priority="31" operator="equal">
      <formula>$X$21</formula>
    </cfRule>
  </conditionalFormatting>
  <conditionalFormatting sqref="Y2:Y19">
    <cfRule type="cellIs" dxfId="67" priority="30" operator="equal">
      <formula>$Y$21</formula>
    </cfRule>
  </conditionalFormatting>
  <conditionalFormatting sqref="AB2:AB19">
    <cfRule type="cellIs" dxfId="66" priority="27" operator="equal">
      <formula>$AB$21</formula>
    </cfRule>
  </conditionalFormatting>
  <conditionalFormatting sqref="AC2:AC19">
    <cfRule type="cellIs" dxfId="65" priority="26" operator="equal">
      <formula>$AC$21</formula>
    </cfRule>
  </conditionalFormatting>
  <conditionalFormatting sqref="AD2:AD19">
    <cfRule type="cellIs" dxfId="64" priority="25" operator="equal">
      <formula>$AD$21</formula>
    </cfRule>
  </conditionalFormatting>
  <conditionalFormatting sqref="AE2:AE19">
    <cfRule type="cellIs" dxfId="63" priority="24" operator="equal">
      <formula>$AE$21</formula>
    </cfRule>
  </conditionalFormatting>
  <conditionalFormatting sqref="AH2:AH19">
    <cfRule type="cellIs" dxfId="62" priority="23" operator="equal">
      <formula>$AH$21</formula>
    </cfRule>
  </conditionalFormatting>
  <conditionalFormatting sqref="AI2:AI19">
    <cfRule type="cellIs" dxfId="61" priority="22" operator="equal">
      <formula>$AI$21</formula>
    </cfRule>
  </conditionalFormatting>
  <conditionalFormatting sqref="AJ2:AJ19">
    <cfRule type="cellIs" dxfId="60" priority="21" operator="equal">
      <formula>$AJ$21</formula>
    </cfRule>
  </conditionalFormatting>
  <conditionalFormatting sqref="AK2:AK19">
    <cfRule type="cellIs" dxfId="59" priority="7" operator="equal">
      <formula>$AK$21</formula>
    </cfRule>
  </conditionalFormatting>
  <conditionalFormatting sqref="AN2:AN19">
    <cfRule type="cellIs" dxfId="58" priority="20" operator="equal">
      <formula>$AN$21</formula>
    </cfRule>
  </conditionalFormatting>
  <conditionalFormatting sqref="AO2:AO19">
    <cfRule type="cellIs" dxfId="57" priority="19" operator="equal">
      <formula>$AO$21</formula>
    </cfRule>
  </conditionalFormatting>
  <conditionalFormatting sqref="AP2:AP19">
    <cfRule type="cellIs" dxfId="56" priority="4" operator="equal">
      <formula>$AP$21</formula>
    </cfRule>
  </conditionalFormatting>
  <conditionalFormatting sqref="AQ2:AQ19">
    <cfRule type="cellIs" dxfId="55" priority="3" operator="equal">
      <formula>$AQ$21</formula>
    </cfRule>
  </conditionalFormatting>
  <conditionalFormatting sqref="AT2:AT19">
    <cfRule type="cellIs" dxfId="54" priority="18" operator="equal">
      <formula>$AT$21</formula>
    </cfRule>
  </conditionalFormatting>
  <conditionalFormatting sqref="AU2:AU19">
    <cfRule type="cellIs" dxfId="53" priority="17" operator="equal">
      <formula>$AU$21</formula>
    </cfRule>
  </conditionalFormatting>
  <conditionalFormatting sqref="AV2:AV19">
    <cfRule type="cellIs" dxfId="52" priority="6" operator="equal">
      <formula>$AV$21</formula>
    </cfRule>
  </conditionalFormatting>
  <conditionalFormatting sqref="AW2:AW19">
    <cfRule type="cellIs" dxfId="51" priority="5" operator="equal">
      <formula>$AW$21</formula>
    </cfRule>
  </conditionalFormatting>
  <conditionalFormatting sqref="AZ2:AZ19">
    <cfRule type="cellIs" dxfId="50" priority="16" operator="equal">
      <formula>$AZ$21</formula>
    </cfRule>
  </conditionalFormatting>
  <conditionalFormatting sqref="BA2:BA19">
    <cfRule type="cellIs" dxfId="49" priority="14" operator="equal">
      <formula>$BA$21</formula>
    </cfRule>
  </conditionalFormatting>
  <conditionalFormatting sqref="BF2:BF19">
    <cfRule type="cellIs" dxfId="48" priority="13" operator="equal">
      <formula>$BF$21</formula>
    </cfRule>
  </conditionalFormatting>
  <conditionalFormatting sqref="BG2:BG19">
    <cfRule type="cellIs" dxfId="47" priority="12" operator="equal">
      <formula>$BG$21</formula>
    </cfRule>
  </conditionalFormatting>
  <conditionalFormatting sqref="BL2:BL19">
    <cfRule type="cellIs" dxfId="46" priority="11" operator="equal">
      <formula>$BL$21</formula>
    </cfRule>
  </conditionalFormatting>
  <conditionalFormatting sqref="BM2:BM19">
    <cfRule type="cellIs" dxfId="45" priority="10" operator="equal">
      <formula>$BM$21</formula>
    </cfRule>
  </conditionalFormatting>
  <conditionalFormatting sqref="BR2:BR19">
    <cfRule type="cellIs" dxfId="44" priority="9" operator="equal">
      <formula>$BR$21</formula>
    </cfRule>
  </conditionalFormatting>
  <conditionalFormatting sqref="BS2:BS19">
    <cfRule type="cellIs" dxfId="43" priority="8" operator="equal">
      <formula>$BS$21</formula>
    </cfRule>
  </conditionalFormatting>
  <conditionalFormatting sqref="BH2:BH19">
    <cfRule type="cellIs" dxfId="42" priority="2" operator="equal">
      <formula>$BH$21</formula>
    </cfRule>
  </conditionalFormatting>
  <conditionalFormatting sqref="BB2:BB19">
    <cfRule type="cellIs" dxfId="0" priority="1" operator="equal">
      <formula>$BB$21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Ciro Lopez</cp:lastModifiedBy>
  <dcterms:modified xsi:type="dcterms:W3CDTF">2026-06-23T00:50:19Z</dcterms:modified>
</cp:coreProperties>
</file>